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Charles\OneDrive\Documents\Vephla\"/>
    </mc:Choice>
  </mc:AlternateContent>
  <xr:revisionPtr revIDLastSave="0" documentId="13_ncr:1_{0A9677EC-180D-4922-971B-FEA34F04A025}" xr6:coauthVersionLast="47" xr6:coauthVersionMax="47" xr10:uidLastSave="{00000000-0000-0000-0000-000000000000}"/>
  <bookViews>
    <workbookView xWindow="-110" yWindow="-110" windowWidth="19420" windowHeight="10300" firstSheet="10" activeTab="15" xr2:uid="{00000000-000D-0000-FFFF-FFFF00000000}"/>
  </bookViews>
  <sheets>
    <sheet name="Region with highest pop" sheetId="10" r:id="rId1"/>
    <sheet name="Fast growing pop" sheetId="11" r:id="rId2"/>
    <sheet name="Countries with decline in growt" sheetId="12" r:id="rId3"/>
    <sheet name="Avg annual growth rate" sheetId="13" r:id="rId4"/>
    <sheet name="6 countries contributed to 24 " sheetId="19" r:id="rId5"/>
    <sheet name="Country with highest pop 24" sheetId="15" r:id="rId6"/>
    <sheet name="Country with least pop 24" sheetId="16" r:id="rId7"/>
    <sheet name="Average pop 2024" sheetId="17" r:id="rId8"/>
    <sheet name="Continent with high pop 2024" sheetId="18" r:id="rId9"/>
    <sheet name="Regional percent 2024" sheetId="14" r:id="rId10"/>
    <sheet name="Raw Data" sheetId="1" r:id="rId11"/>
    <sheet name="Sheet3" sheetId="4" state="hidden" r:id="rId12"/>
    <sheet name="Continent" sheetId="3" r:id="rId13"/>
    <sheet name="Pre-Analysis" sheetId="2" r:id="rId14"/>
    <sheet name="In-Analysis" sheetId="5" r:id="rId15"/>
    <sheet name="Dashboard" sheetId="8" r:id="rId16"/>
    <sheet name="Post Observation" sheetId="6" r:id="rId17"/>
    <sheet name="Post Recommendation" sheetId="7" r:id="rId18"/>
  </sheets>
  <definedNames>
    <definedName name="_xlnm._FilterDatabase" localSheetId="10" hidden="1">'Raw Data'!$A$1:$S$272</definedName>
    <definedName name="Slicer_Region">#N/A</definedName>
  </definedNames>
  <calcPr calcId="191029"/>
  <pivotCaches>
    <pivotCache cacheId="15"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8" l="1"/>
  <c r="D4" i="17"/>
  <c r="D4" i="16"/>
  <c r="D4" i="15"/>
  <c r="G50" i="4"/>
  <c r="F50" i="4"/>
  <c r="E50" i="4"/>
  <c r="G49" i="4"/>
  <c r="F49" i="4"/>
  <c r="E49" i="4"/>
  <c r="G48" i="4"/>
  <c r="F48" i="4"/>
  <c r="E48" i="4"/>
  <c r="G47" i="4"/>
  <c r="F47" i="4"/>
  <c r="E47" i="4"/>
  <c r="G46" i="4"/>
  <c r="F46" i="4"/>
  <c r="E46" i="4"/>
  <c r="G45" i="4"/>
  <c r="F45" i="4"/>
  <c r="E45" i="4"/>
  <c r="G44" i="4"/>
  <c r="F44" i="4"/>
  <c r="E44" i="4"/>
  <c r="G43" i="4"/>
  <c r="F43" i="4"/>
  <c r="E43" i="4"/>
  <c r="G42" i="4"/>
  <c r="F42" i="4"/>
  <c r="E42" i="4"/>
  <c r="G41" i="4"/>
  <c r="F41" i="4"/>
  <c r="E41" i="4"/>
  <c r="G40" i="4"/>
  <c r="F40" i="4"/>
  <c r="E40" i="4"/>
  <c r="G39" i="4"/>
  <c r="F39" i="4"/>
  <c r="E39" i="4"/>
  <c r="G38" i="4"/>
  <c r="F38" i="4"/>
  <c r="E38" i="4"/>
  <c r="G37" i="4"/>
  <c r="F37" i="4"/>
  <c r="E37" i="4"/>
  <c r="G36" i="4"/>
  <c r="F36" i="4"/>
  <c r="E36" i="4"/>
  <c r="G35" i="4"/>
  <c r="F35" i="4"/>
  <c r="E35" i="4"/>
  <c r="G34" i="4"/>
  <c r="F34" i="4"/>
  <c r="E34" i="4"/>
  <c r="G33" i="4"/>
  <c r="F33" i="4"/>
  <c r="E33" i="4"/>
  <c r="G32" i="4"/>
  <c r="F32" i="4"/>
  <c r="E32" i="4"/>
  <c r="G31" i="4"/>
  <c r="F31" i="4"/>
  <c r="E31" i="4"/>
  <c r="G30" i="4"/>
  <c r="F30" i="4"/>
  <c r="E30" i="4"/>
  <c r="G29" i="4"/>
  <c r="F29" i="4"/>
  <c r="E29" i="4"/>
  <c r="G28" i="4"/>
  <c r="F28" i="4"/>
  <c r="E28" i="4"/>
  <c r="G27" i="4"/>
  <c r="F27" i="4"/>
  <c r="E27" i="4"/>
  <c r="G26" i="4"/>
  <c r="F26" i="4"/>
  <c r="E26" i="4"/>
  <c r="G25" i="4"/>
  <c r="F25" i="4"/>
  <c r="E25" i="4"/>
  <c r="G24" i="4"/>
  <c r="F24" i="4"/>
  <c r="E24" i="4"/>
  <c r="G23" i="4"/>
  <c r="F23" i="4"/>
  <c r="E23" i="4"/>
  <c r="G22" i="4"/>
  <c r="F22" i="4"/>
  <c r="E22" i="4"/>
  <c r="G21" i="4"/>
  <c r="F21" i="4"/>
  <c r="E21" i="4"/>
  <c r="G20" i="4"/>
  <c r="F20" i="4"/>
  <c r="E20" i="4"/>
  <c r="G19" i="4"/>
  <c r="F19" i="4"/>
  <c r="E19" i="4"/>
  <c r="G18" i="4"/>
  <c r="F18" i="4"/>
  <c r="E18" i="4"/>
  <c r="G17" i="4"/>
  <c r="F17" i="4"/>
  <c r="E17" i="4"/>
  <c r="G16" i="4"/>
  <c r="F16" i="4"/>
  <c r="E16" i="4"/>
  <c r="G15" i="4"/>
  <c r="F15" i="4"/>
  <c r="E15" i="4"/>
  <c r="G14" i="4"/>
  <c r="F14" i="4"/>
  <c r="E14" i="4"/>
  <c r="G13" i="4"/>
  <c r="F13" i="4"/>
  <c r="E13" i="4"/>
  <c r="G12" i="4"/>
  <c r="F12" i="4"/>
  <c r="E12" i="4"/>
  <c r="G11" i="4"/>
  <c r="F11" i="4"/>
  <c r="E11" i="4"/>
  <c r="G10" i="4"/>
  <c r="F10" i="4"/>
  <c r="E10" i="4"/>
  <c r="G9" i="4"/>
  <c r="F9" i="4"/>
  <c r="E9" i="4"/>
  <c r="G8" i="4"/>
  <c r="F8" i="4"/>
  <c r="E8" i="4"/>
  <c r="G7" i="4"/>
  <c r="F7" i="4"/>
  <c r="E7" i="4"/>
  <c r="G6" i="4"/>
  <c r="F6" i="4"/>
  <c r="E6" i="4"/>
  <c r="G5" i="4"/>
  <c r="F5" i="4"/>
  <c r="E5" i="4"/>
  <c r="G4" i="4"/>
  <c r="F4" i="4"/>
  <c r="E4" i="4"/>
  <c r="G3" i="4"/>
  <c r="F3" i="4"/>
  <c r="E3" i="4"/>
  <c r="G2" i="4"/>
  <c r="F2" i="4"/>
  <c r="E2" i="4"/>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4" i="15"/>
  <c r="E4" i="16"/>
</calcChain>
</file>

<file path=xl/sharedStrings.xml><?xml version="1.0" encoding="utf-8"?>
<sst xmlns="http://schemas.openxmlformats.org/spreadsheetml/2006/main" count="1611" uniqueCount="570">
  <si>
    <t>Series Name</t>
  </si>
  <si>
    <t>Series Code</t>
  </si>
  <si>
    <t>Country Name</t>
  </si>
  <si>
    <t>Country Code</t>
  </si>
  <si>
    <t>1990 [YR1990]</t>
  </si>
  <si>
    <t>2000 [YR2000]</t>
  </si>
  <si>
    <t>2015 [YR2015]</t>
  </si>
  <si>
    <t>2016 [YR2016]</t>
  </si>
  <si>
    <t>2017 [YR2017]</t>
  </si>
  <si>
    <t>2018 [YR2018]</t>
  </si>
  <si>
    <t>2019 [YR2019]</t>
  </si>
  <si>
    <t>2020 [YR2020]</t>
  </si>
  <si>
    <t>2021 [YR2021]</t>
  </si>
  <si>
    <t>2022 [YR2022]</t>
  </si>
  <si>
    <t>2023 [YR2023]</t>
  </si>
  <si>
    <t>2024 [YR2024]</t>
  </si>
  <si>
    <t>Population, total</t>
  </si>
  <si>
    <t>SP.POP.TOTL</t>
  </si>
  <si>
    <t>Afghanistan</t>
  </si>
  <si>
    <t>AFG</t>
  </si>
  <si>
    <t>Albania</t>
  </si>
  <si>
    <t>ALB</t>
  </si>
  <si>
    <t>Algeria</t>
  </si>
  <si>
    <t>DZA</t>
  </si>
  <si>
    <t>American Samoa</t>
  </si>
  <si>
    <t>ASM</t>
  </si>
  <si>
    <t>Andorra</t>
  </si>
  <si>
    <t>AND</t>
  </si>
  <si>
    <t>Angola</t>
  </si>
  <si>
    <t>AGO</t>
  </si>
  <si>
    <t>Antigua and Barbuda</t>
  </si>
  <si>
    <t>ATG</t>
  </si>
  <si>
    <t>Argentina</t>
  </si>
  <si>
    <t>ARG</t>
  </si>
  <si>
    <t>Armenia</t>
  </si>
  <si>
    <t>ARM</t>
  </si>
  <si>
    <t>Aruba</t>
  </si>
  <si>
    <t>ABW</t>
  </si>
  <si>
    <t>Australia</t>
  </si>
  <si>
    <t>AUS</t>
  </si>
  <si>
    <t>Austria</t>
  </si>
  <si>
    <t>AUT</t>
  </si>
  <si>
    <t>Azerbaijan</t>
  </si>
  <si>
    <t>AZE</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</si>
  <si>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</si>
  <si>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</si>
  <si>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</si>
  <si>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</si>
  <si>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</si>
  <si>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</si>
  <si>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</si>
  <si>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</si>
  <si>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</si>
  <si>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</si>
  <si>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</si>
  <si>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</si>
  <si>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</si>
  <si>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</si>
  <si>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</si>
  <si>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</si>
  <si>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</si>
  <si>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</si>
  <si>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</si>
  <si>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</si>
  <si>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</si>
  <si>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</si>
  <si>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</si>
  <si>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</si>
  <si>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</si>
  <si>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</si>
  <si>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</si>
  <si>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</si>
  <si>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</si>
  <si>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</si>
  <si>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</si>
  <si>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</si>
  <si>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</si>
  <si>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</si>
  <si>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</si>
  <si>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</si>
  <si>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</si>
  <si>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</si>
  <si>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</si>
  <si>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</si>
  <si>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</si>
  <si>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</si>
  <si>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</si>
  <si>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</si>
  <si>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</si>
  <si>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</si>
  <si>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</si>
  <si>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</si>
  <si>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</si>
  <si>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</si>
  <si>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</si>
  <si>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</si>
  <si>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</si>
  <si>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</si>
  <si>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</si>
  <si>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</si>
  <si>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</si>
  <si>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</si>
  <si>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</si>
  <si>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</si>
  <si>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</si>
  <si>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</si>
  <si>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</si>
  <si>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</si>
  <si>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</si>
  <si>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</si>
  <si>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</si>
  <si>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CIV</t>
  </si>
  <si>
    <t>Croatia</t>
  </si>
  <si>
    <t>HRV</t>
  </si>
  <si>
    <t>Cuba</t>
  </si>
  <si>
    <t>CUB</t>
  </si>
  <si>
    <t>Curacao</t>
  </si>
  <si>
    <t>CUW</t>
  </si>
  <si>
    <t>Cyprus</t>
  </si>
  <si>
    <t>CYP</t>
  </si>
  <si>
    <t>Czechia</t>
  </si>
  <si>
    <t>CZE</t>
  </si>
  <si>
    <t>Denmark</t>
  </si>
  <si>
    <t>DNK</t>
  </si>
  <si>
    <t>Djibouti</t>
  </si>
  <si>
    <t>DJI</t>
  </si>
  <si>
    <t>Dominica</t>
  </si>
  <si>
    <t>DMA</t>
  </si>
  <si>
    <t>Dominican Republic</t>
  </si>
  <si>
    <t>DOM</t>
  </si>
  <si>
    <t>Ecuador</t>
  </si>
  <si>
    <t>ECU</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</si>
  <si>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</si>
  <si>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</si>
  <si>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</si>
  <si>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</si>
  <si>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</si>
  <si>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</si>
  <si>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</si>
  <si>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</si>
  <si>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</si>
  <si>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</si>
  <si>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</si>
  <si>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</si>
  <si>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</si>
  <si>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</si>
  <si>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</si>
  <si>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</si>
  <si>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</si>
  <si>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</si>
  <si>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</si>
  <si>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</si>
  <si>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</si>
  <si>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</si>
  <si>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</si>
  <si>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</si>
  <si>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</si>
  <si>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</si>
  <si>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</si>
  <si>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</si>
  <si>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</si>
  <si>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</si>
  <si>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</si>
  <si>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</si>
  <si>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</si>
  <si>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</si>
  <si>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</si>
  <si>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</si>
  <si>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</si>
  <si>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</si>
  <si>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</si>
  <si>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</si>
  <si>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</si>
  <si>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</si>
  <si>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</si>
  <si>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</si>
  <si>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</si>
  <si>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</si>
  <si>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</si>
  <si>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</si>
  <si>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</si>
  <si>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</si>
  <si>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</si>
  <si>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</si>
  <si>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</si>
  <si>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</si>
  <si>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</si>
  <si>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</si>
  <si>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</si>
  <si>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</si>
  <si>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</si>
  <si>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</si>
  <si>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</si>
  <si>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</si>
  <si>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</si>
  <si>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</si>
  <si>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</si>
  <si>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</si>
  <si>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</si>
  <si>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</si>
  <si>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</si>
  <si>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</si>
  <si>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</si>
  <si>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</si>
  <si>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</si>
  <si>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</si>
  <si>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</si>
  <si>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</si>
  <si>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</si>
  <si>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</si>
  <si>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</si>
  <si>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</si>
  <si>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</si>
  <si>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</si>
  <si>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</si>
  <si>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</si>
  <si>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</si>
  <si>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</si>
  <si>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</si>
  <si>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</si>
  <si>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</si>
  <si>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</si>
  <si>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</si>
  <si>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</si>
  <si>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</si>
  <si>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</si>
  <si>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</si>
  <si>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</si>
  <si>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</si>
  <si>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</si>
  <si>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</si>
  <si>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</si>
  <si>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</si>
  <si>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</si>
  <si>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</si>
  <si>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</si>
  <si>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</si>
  <si>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</si>
  <si>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</si>
  <si>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</si>
  <si>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</si>
  <si>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</si>
  <si>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</si>
  <si>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</si>
  <si>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</si>
  <si>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</si>
  <si>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</si>
  <si>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</si>
  <si>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</si>
  <si>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</si>
  <si>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</si>
  <si>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</si>
  <si>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</si>
  <si>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</si>
  <si>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</si>
  <si>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</si>
  <si>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</si>
  <si>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</si>
  <si>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</si>
  <si>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</si>
  <si>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</si>
  <si>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</si>
  <si>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</si>
  <si>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</si>
  <si>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</si>
  <si>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</si>
  <si>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</si>
  <si>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</si>
  <si>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</si>
  <si>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</si>
  <si>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</si>
  <si>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</si>
  <si>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</si>
  <si>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</si>
  <si>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</si>
  <si>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</si>
  <si>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</si>
  <si>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</si>
  <si>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</si>
  <si>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</si>
  <si>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</si>
  <si>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</si>
  <si>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</si>
  <si>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</si>
  <si>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</si>
  <si>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</si>
  <si>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</si>
  <si>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</si>
  <si>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</si>
  <si>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</si>
  <si>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</si>
  <si>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</si>
  <si>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</si>
  <si>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</si>
  <si>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</si>
  <si>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</si>
  <si>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</si>
  <si>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</si>
  <si>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</si>
  <si>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</si>
  <si>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</si>
  <si>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</si>
  <si>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</si>
  <si>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</si>
  <si>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</si>
  <si>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</si>
  <si>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</si>
  <si>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</si>
  <si>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</si>
  <si>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</si>
  <si>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</si>
  <si>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</si>
  <si>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</si>
  <si>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</si>
  <si>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</si>
  <si>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</si>
  <si>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</si>
  <si>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</si>
  <si>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</si>
  <si>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</si>
  <si>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</si>
  <si>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</si>
  <si>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</si>
  <si>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</si>
  <si>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</si>
  <si>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</si>
  <si>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</si>
  <si>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</si>
  <si>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</si>
  <si>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</si>
  <si>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</si>
  <si>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</si>
  <si>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</si>
  <si>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</si>
  <si>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</si>
  <si>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</si>
  <si>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</si>
  <si>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</si>
  <si>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</si>
  <si>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</si>
  <si>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</si>
  <si>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</si>
  <si>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</si>
  <si>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</si>
  <si>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</si>
  <si>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</si>
  <si>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</si>
  <si>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</si>
  <si>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</si>
  <si>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</si>
  <si>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</si>
  <si>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</si>
  <si>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</si>
  <si>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</si>
  <si>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</si>
  <si>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</si>
  <si>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</si>
  <si>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</si>
  <si>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</si>
  <si>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</si>
  <si>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</si>
  <si>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</si>
  <si>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</si>
  <si>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</si>
  <si>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</si>
  <si>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</si>
  <si>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</si>
  <si>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</si>
  <si>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</si>
  <si>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</si>
  <si>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</si>
  <si>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</si>
  <si>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</si>
  <si>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</si>
  <si>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</si>
  <si>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</si>
  <si>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</si>
  <si>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</si>
  <si>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</si>
  <si>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</si>
  <si>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</si>
  <si>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</si>
  <si>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</si>
  <si>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</si>
  <si>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</si>
  <si>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</si>
  <si>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</si>
  <si>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</si>
  <si>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</si>
  <si>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</si>
  <si>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</si>
  <si>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</si>
  <si>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Tajikistan</t>
  </si>
  <si>
    <t>TJK</t>
  </si>
  <si>
    <t>Tanzania</t>
  </si>
  <si>
    <t>TZA</t>
  </si>
  <si>
    <t>Thailand</t>
  </si>
  <si>
    <t>THA</t>
  </si>
  <si>
    <t>Timor-Leste</t>
  </si>
  <si>
    <t>TLS</t>
  </si>
  <si>
    <t>Togo</t>
  </si>
  <si>
    <t>TGO</t>
  </si>
  <si>
    <t>Tonga</t>
  </si>
  <si>
    <t>TON</t>
  </si>
  <si>
    <t>Trinidad and Tobago</t>
  </si>
  <si>
    <t>TTO</t>
  </si>
  <si>
    <t>Tunisia</t>
  </si>
  <si>
    <t>TUN</t>
  </si>
  <si>
    <t>Turkiye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</si>
  <si>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</si>
  <si>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</si>
  <si>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</si>
  <si>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</si>
  <si>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</si>
  <si>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</si>
  <si>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</si>
  <si>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</si>
  <si>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</si>
  <si>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</si>
  <si>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</si>
  <si>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</si>
  <si>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</si>
  <si>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</si>
  <si>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</si>
  <si>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</si>
  <si>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</si>
  <si>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</si>
  <si>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</si>
  <si>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</si>
  <si>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</si>
  <si>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</si>
  <si>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</si>
  <si>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t>
  </si>
  <si>
    <t>Viet 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</si>
  <si>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</si>
  <si>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</si>
  <si>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</si>
  <si>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</si>
  <si>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</si>
  <si>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</si>
  <si>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</si>
  <si>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</si>
  <si>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</si>
  <si>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</si>
  <si>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</si>
  <si>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</si>
  <si>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</si>
  <si>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</si>
  <si>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</si>
  <si>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</si>
  <si>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</si>
  <si>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</si>
  <si>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</si>
  <si>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</si>
  <si>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</si>
  <si>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</si>
  <si>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</si>
  <si>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Asia &amp; Pacific</t>
  </si>
  <si>
    <t>EAS</t>
  </si>
  <si>
    <t>East Asia &amp; Pacific (excluding high income)</t>
  </si>
  <si>
    <t>EAP</t>
  </si>
  <si>
    <t>East Asia &amp; Pacific (IDA &amp; IBRD countries)</t>
  </si>
  <si>
    <t>TEA</t>
  </si>
  <si>
    <t>Euro area</t>
  </si>
  <si>
    <t>EMU</t>
  </si>
  <si>
    <t>Europe &amp; Central Asia</t>
  </si>
  <si>
    <t>ECS</t>
  </si>
  <si>
    <t>Europe &amp; Central Asia (excluding high income)</t>
  </si>
  <si>
    <t>ECA</t>
  </si>
  <si>
    <t>Europe &amp; Central Asia (IDA &amp; IBRD countries)</t>
  </si>
  <si>
    <t>TEC</t>
  </si>
  <si>
    <t>European Union</t>
  </si>
  <si>
    <t>EUU</t>
  </si>
  <si>
    <t>Fragile and conflict affected situations</t>
  </si>
  <si>
    <t>FCS</t>
  </si>
  <si>
    <t>Heavily indebted poor countries (HIPC)</t>
  </si>
  <si>
    <t>HPC</t>
  </si>
  <si>
    <t>High income</t>
  </si>
  <si>
    <t>HIC</t>
  </si>
  <si>
    <t>IBRD only</t>
  </si>
  <si>
    <t>IBD</t>
  </si>
  <si>
    <t>IDA &amp; IBRD total</t>
  </si>
  <si>
    <t>IBT</t>
  </si>
  <si>
    <t>IDA blend</t>
  </si>
  <si>
    <t>IDB</t>
  </si>
  <si>
    <t>IDA only</t>
  </si>
  <si>
    <t>IDX</t>
  </si>
  <si>
    <t>IDA total</t>
  </si>
  <si>
    <t>IDA</t>
  </si>
  <si>
    <t>Late-demographic dividend</t>
  </si>
  <si>
    <t>LTE</t>
  </si>
  <si>
    <t>Latin America &amp; Caribbean</t>
  </si>
  <si>
    <t>LCN</t>
  </si>
  <si>
    <t>Latin America &amp; Caribbean (excluding high income)</t>
  </si>
  <si>
    <t>LAC</t>
  </si>
  <si>
    <t>Latin America &amp; the Caribbean (IDA &amp; IBRD countries)</t>
  </si>
  <si>
    <t>TLA</t>
  </si>
  <si>
    <t>Least developed countries: UN classification</t>
  </si>
  <si>
    <t>LDC</t>
  </si>
  <si>
    <t>Low &amp; middle income</t>
  </si>
  <si>
    <t>LMY</t>
  </si>
  <si>
    <t>Low income</t>
  </si>
  <si>
    <t>LIC</t>
  </si>
  <si>
    <t>Lower middle income</t>
  </si>
  <si>
    <t>LMC</t>
  </si>
  <si>
    <t>Middle East, North Africa, Afghanistan &amp; Pakistan</t>
  </si>
  <si>
    <t>MEA</t>
  </si>
  <si>
    <t>Middle East, North Africa, Afghanistan &amp; Pakistan (excluding high income)</t>
  </si>
  <si>
    <t>MNA</t>
  </si>
  <si>
    <t>Middle East, North Africa, Afghanistan &amp; Pakistan (IDA &amp; IBRD)</t>
  </si>
  <si>
    <t>TMN</t>
  </si>
  <si>
    <t>Middle income</t>
  </si>
  <si>
    <t>MIC</t>
  </si>
  <si>
    <t>North America</t>
  </si>
  <si>
    <t>NAC</t>
  </si>
  <si>
    <t>Not classified</t>
  </si>
  <si>
    <t>INX</t>
  </si>
  <si>
    <t>..</t>
  </si>
  <si>
    <t>OECD members</t>
  </si>
  <si>
    <t>OED</t>
  </si>
  <si>
    <t>Other small states</t>
  </si>
  <si>
    <t>OSS</t>
  </si>
  <si>
    <t>Pacific island small states</t>
  </si>
  <si>
    <t>PSS</t>
  </si>
  <si>
    <t>Post-demographic dividend</t>
  </si>
  <si>
    <t>PST</t>
  </si>
  <si>
    <t>Pre-demographic dividend</t>
  </si>
  <si>
    <t>PRE</t>
  </si>
  <si>
    <t>Small states</t>
  </si>
  <si>
    <t>SST</t>
  </si>
  <si>
    <t>South Asia</t>
  </si>
  <si>
    <t>SAS</t>
  </si>
  <si>
    <t>South Asia (IDA &amp; IBRD)</t>
  </si>
  <si>
    <t>TSA</t>
  </si>
  <si>
    <t>Sub-Saharan Africa</t>
  </si>
  <si>
    <t>SSF</t>
  </si>
  <si>
    <t>Sub-Saharan Africa (excluding high income)</t>
  </si>
  <si>
    <t>SSA</t>
  </si>
  <si>
    <t>Sub-Saharan Africa (IDA &amp; IBRD countries)</t>
  </si>
  <si>
    <t>TSS</t>
  </si>
  <si>
    <t>Upper middle income</t>
  </si>
  <si>
    <t>UMC</t>
  </si>
  <si>
    <t>World</t>
  </si>
  <si>
    <t>WLD</t>
  </si>
  <si>
    <t>Data from database: World Development Indicators</t>
  </si>
  <si>
    <t>Last Updated: 10/07/2025</t>
  </si>
  <si>
    <t>Continent</t>
  </si>
  <si>
    <t>Asia</t>
  </si>
  <si>
    <t>Europe</t>
  </si>
  <si>
    <t>Africa</t>
  </si>
  <si>
    <t>South America</t>
  </si>
  <si>
    <t>Oceania</t>
  </si>
  <si>
    <t>Bahamas</t>
  </si>
  <si>
    <t>Côte d’Ivoire</t>
  </si>
  <si>
    <t>Egypt</t>
  </si>
  <si>
    <t>Gambia</t>
  </si>
  <si>
    <t>Iran</t>
  </si>
  <si>
    <t>Micronesia</t>
  </si>
  <si>
    <t>Somalia</t>
  </si>
  <si>
    <t>Venezuela</t>
  </si>
  <si>
    <t>Region</t>
  </si>
  <si>
    <t>Growth Rate %</t>
  </si>
  <si>
    <t>Avg Annual Growth Rate</t>
  </si>
  <si>
    <t>Row Labels</t>
  </si>
  <si>
    <t>Sum of 2024 [YR2024]</t>
  </si>
  <si>
    <t>Sum of Growth Rate %</t>
  </si>
  <si>
    <t>Average of Growth Rate %</t>
  </si>
  <si>
    <t>Average of Avg Annual Growth Rate</t>
  </si>
  <si>
    <t>Max of 2024 [YR2024]</t>
  </si>
  <si>
    <t>Average of 2024 [YR2024]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</si>
</sst>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49998474074526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ck">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13" fillId="33" borderId="0" xfId="0" applyFont="1" applyFill="1"/>
    <xf numFmtId="0" fontId="0" fillId="35" borderId="12" xfId="0" applyFont="1" applyFill="1" applyBorder="1"/>
    <xf numFmtId="0" fontId="0" fillId="35" borderId="13" xfId="0" applyFont="1" applyFill="1" applyBorder="1"/>
    <xf numFmtId="0" fontId="0" fillId="34" borderId="12" xfId="0" applyFont="1" applyFill="1" applyBorder="1"/>
    <xf numFmtId="0" fontId="0" fillId="34" borderId="13" xfId="0" applyFont="1" applyFill="1" applyBorder="1"/>
    <xf numFmtId="0" fontId="0" fillId="35" borderId="15" xfId="0" applyFont="1" applyFill="1" applyBorder="1"/>
    <xf numFmtId="0" fontId="0" fillId="34" borderId="15" xfId="0" applyFont="1" applyFill="1" applyBorder="1"/>
    <xf numFmtId="0" fontId="16" fillId="0" borderId="0" xfId="0" applyFont="1" applyAlignment="1">
      <alignment horizontal="center" vertical="center" wrapText="1"/>
    </xf>
    <xf numFmtId="0" fontId="0" fillId="0" borderId="0" xfId="0" applyAlignment="1">
      <alignment vertical="center" wrapText="1"/>
    </xf>
    <xf numFmtId="0" fontId="0" fillId="0" borderId="13" xfId="0" applyFont="1" applyFill="1" applyBorder="1"/>
    <xf numFmtId="0" fontId="0" fillId="34" borderId="16" xfId="0" applyFont="1" applyFill="1" applyBorder="1"/>
    <xf numFmtId="0" fontId="0" fillId="34" borderId="17" xfId="0" applyFont="1" applyFill="1" applyBorder="1"/>
    <xf numFmtId="2" fontId="13" fillId="33" borderId="0" xfId="0" applyNumberFormat="1" applyFont="1" applyFill="1"/>
    <xf numFmtId="2" fontId="0" fillId="0" borderId="0" xfId="0" applyNumberFormat="1"/>
    <xf numFmtId="10" fontId="0" fillId="0" borderId="0" xfId="0" applyNumberFormat="1"/>
    <xf numFmtId="0" fontId="0" fillId="34" borderId="18" xfId="0" applyFont="1" applyFill="1" applyBorder="1"/>
    <xf numFmtId="2" fontId="0" fillId="34" borderId="13" xfId="0" applyNumberFormat="1" applyFont="1" applyFill="1" applyBorder="1"/>
    <xf numFmtId="2" fontId="0" fillId="35" borderId="13" xfId="0" applyNumberFormat="1" applyFont="1" applyFill="1" applyBorder="1"/>
    <xf numFmtId="2" fontId="0" fillId="34" borderId="17" xfId="0" applyNumberFormat="1" applyFont="1" applyFill="1" applyBorder="1"/>
    <xf numFmtId="0" fontId="13" fillId="33" borderId="10" xfId="0" applyFont="1" applyFill="1" applyBorder="1"/>
    <xf numFmtId="0" fontId="13" fillId="33" borderId="11" xfId="0" applyFont="1" applyFill="1" applyBorder="1"/>
    <xf numFmtId="2" fontId="13" fillId="33" borderId="11" xfId="0" applyNumberFormat="1" applyFont="1" applyFill="1" applyBorder="1"/>
    <xf numFmtId="0" fontId="13" fillId="33" borderId="14" xfId="0" applyFont="1" applyFill="1" applyBorder="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b/>
        <color theme="1"/>
      </font>
      <border>
        <bottom style="thin">
          <color theme="4"/>
        </bottom>
        <vertical/>
        <horizontal/>
      </border>
    </dxf>
    <dxf>
      <font>
        <sz val="12"/>
        <color theme="1"/>
        <name val="Bodoni MT"/>
        <family val="1"/>
        <scheme val="none"/>
      </font>
      <fill>
        <patternFill patternType="none">
          <fgColor indexed="64"/>
          <bgColor auto="1"/>
        </patternFill>
      </fill>
      <border diagonalUp="0" diagonalDown="0">
        <left/>
        <right/>
        <top/>
        <bottom/>
        <vertical/>
        <horizontal/>
      </border>
    </dxf>
    <dxf>
      <numFmt numFmtId="2" formatCode="0.00"/>
    </dxf>
    <dxf>
      <numFmt numFmtId="2" formatCode="0.00"/>
    </dxf>
    <dxf>
      <numFmt numFmtId="0" formatCode="General"/>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dxf>
  </dxfs>
  <tableStyles count="1" defaultTableStyle="TableStyleMedium2" defaultPivotStyle="PivotStyleLight16">
    <tableStyle name="region" pivot="0" table="0" count="10" xr9:uid="{FB6483C2-CFC5-4D88-A23F-C3C9F198C76F}">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4" tint="-0.499984740745262"/>
            <name val="Bodoni MT"/>
            <family val="1"/>
            <scheme val="none"/>
          </font>
          <fill>
            <patternFill patternType="solid">
              <fgColor theme="4" tint="0.59999389629810485"/>
              <bgColor theme="4" tint="0.3999450666829432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regio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37.xlsx]Region with highest pop!PivotTable1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latin typeface="Bodoni MT" panose="02070603080606020203" pitchFamily="18" charset="0"/>
              </a:rPr>
              <a:t>Top Region with highest population in 2024</a:t>
            </a:r>
            <a:endParaRPr lang="en-US">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s>
    <c:plotArea>
      <c:layout/>
      <c:barChart>
        <c:barDir val="col"/>
        <c:grouping val="clustered"/>
        <c:varyColors val="0"/>
        <c:ser>
          <c:idx val="0"/>
          <c:order val="0"/>
          <c:tx>
            <c:strRef>
              <c:f>'Region with highest pop'!$B$3</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B097-4AF7-893D-41C43200BA7A}"/>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B097-4AF7-893D-41C43200BA7A}"/>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B097-4AF7-893D-41C43200BA7A}"/>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6-B097-4AF7-893D-41C43200BA7A}"/>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7-B097-4AF7-893D-41C43200BA7A}"/>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with highest pop'!$A$4:$A$9</c:f>
              <c:strCache>
                <c:ptCount val="6"/>
                <c:pt idx="0">
                  <c:v>Asia</c:v>
                </c:pt>
                <c:pt idx="1">
                  <c:v>Africa</c:v>
                </c:pt>
                <c:pt idx="2">
                  <c:v>Europe</c:v>
                </c:pt>
                <c:pt idx="3">
                  <c:v>North America</c:v>
                </c:pt>
                <c:pt idx="4">
                  <c:v>South America</c:v>
                </c:pt>
                <c:pt idx="5">
                  <c:v>Oceania</c:v>
                </c:pt>
              </c:strCache>
            </c:strRef>
          </c:cat>
          <c:val>
            <c:numRef>
              <c:f>'Region with highest pop'!$B$4:$B$9</c:f>
              <c:numCache>
                <c:formatCode>General</c:formatCode>
                <c:ptCount val="6"/>
                <c:pt idx="0">
                  <c:v>4772010067</c:v>
                </c:pt>
                <c:pt idx="1">
                  <c:v>1513319287</c:v>
                </c:pt>
                <c:pt idx="2">
                  <c:v>742931640</c:v>
                </c:pt>
                <c:pt idx="3">
                  <c:v>608407700</c:v>
                </c:pt>
                <c:pt idx="4">
                  <c:v>435299309</c:v>
                </c:pt>
                <c:pt idx="5">
                  <c:v>46675544</c:v>
                </c:pt>
              </c:numCache>
            </c:numRef>
          </c:val>
          <c:extLst>
            <c:ext xmlns:c16="http://schemas.microsoft.com/office/drawing/2014/chart" uri="{C3380CC4-5D6E-409C-BE32-E72D297353CC}">
              <c16:uniqueId val="{00000000-B097-4AF7-893D-41C43200BA7A}"/>
            </c:ext>
          </c:extLst>
        </c:ser>
        <c:dLbls>
          <c:dLblPos val="outEnd"/>
          <c:showLegendKey val="0"/>
          <c:showVal val="1"/>
          <c:showCatName val="0"/>
          <c:showSerName val="0"/>
          <c:showPercent val="0"/>
          <c:showBubbleSize val="0"/>
        </c:dLbls>
        <c:gapWidth val="25"/>
        <c:overlap val="-27"/>
        <c:axId val="1047472511"/>
        <c:axId val="1047472927"/>
      </c:barChart>
      <c:catAx>
        <c:axId val="104747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odoni MT" panose="02070603080606020203" pitchFamily="18" charset="0"/>
                <a:ea typeface="+mn-ea"/>
                <a:cs typeface="+mn-cs"/>
              </a:defRPr>
            </a:pPr>
            <a:endParaRPr lang="en-NG"/>
          </a:p>
        </c:txPr>
        <c:crossAx val="1047472927"/>
        <c:crosses val="autoZero"/>
        <c:auto val="1"/>
        <c:lblAlgn val="ctr"/>
        <c:lblOffset val="100"/>
        <c:noMultiLvlLbl val="0"/>
      </c:catAx>
      <c:valAx>
        <c:axId val="1047472927"/>
        <c:scaling>
          <c:orientation val="minMax"/>
        </c:scaling>
        <c:delete val="1"/>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104747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37.xlsx]Fast growing pop!PivotTable1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aseline="0">
                <a:effectLst/>
                <a:latin typeface="Bodoni MT" panose="02070603080606020203" pitchFamily="18" charset="0"/>
              </a:rPr>
              <a:t>Fast growing population (growth rate %) from 1990 - 2024</a:t>
            </a:r>
            <a:endParaRPr lang="en-NG" sz="1400">
              <a:effectLst/>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pivotFmt>
      <c:pivotFmt>
        <c:idx val="15"/>
        <c:spPr>
          <a:solidFill>
            <a:schemeClr val="accent1">
              <a:lumMod val="75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40000"/>
              <a:lumOff val="60000"/>
            </a:schemeClr>
          </a:solidFill>
          <a:ln>
            <a:noFill/>
          </a:ln>
          <a:effectLst/>
        </c:spPr>
      </c:pivotFmt>
      <c:pivotFmt>
        <c:idx val="18"/>
        <c:spPr>
          <a:solidFill>
            <a:schemeClr val="accent1">
              <a:lumMod val="20000"/>
              <a:lumOff val="80000"/>
            </a:schemeClr>
          </a:solidFill>
          <a:ln>
            <a:noFill/>
          </a:ln>
          <a:effectLst/>
        </c:spPr>
      </c:pivotFmt>
    </c:pivotFmts>
    <c:plotArea>
      <c:layout/>
      <c:barChart>
        <c:barDir val="col"/>
        <c:grouping val="clustered"/>
        <c:varyColors val="0"/>
        <c:ser>
          <c:idx val="0"/>
          <c:order val="0"/>
          <c:tx>
            <c:strRef>
              <c:f>'Fast growing pop'!$B$3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D-98A5-409E-B266-C6AB3147F3F4}"/>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E-98A5-409E-B266-C6AB3147F3F4}"/>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F-98A5-409E-B266-C6AB3147F3F4}"/>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10-98A5-409E-B266-C6AB3147F3F4}"/>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11-98A5-409E-B266-C6AB3147F3F4}"/>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'Fast growing pop'!$A$4:$A$8</c:f>
              <c:strCache>
                <c:ptCount val="5"/>
                <c:pt idx="0">
                  <c:v>Qatar</c:v>
                </c:pt>
                <c:pt idx="1">
                  <c:v>United Arab Emirates</c:v>
                </c:pt>
                <c:pt idx="2">
                  <c:v>Equatorial Guinea</c:v>
                </c:pt>
                <c:pt idx="3">
                  <c:v>Turks and Caicos Islands</c:v>
                </c:pt>
                <c:pt idx="4">
                  <c:v>Afghanistan</c:v>
                </c:pt>
              </c:strCache>
            </c:strRef>
          </c:cat>
          <c:val>
            <c:numRef>
              <c:f>'Fast growing pop'!$B$4:$B$8</c:f>
              <c:numCache>
                <c:formatCode>0.00</c:formatCode>
                <c:ptCount val="5"/>
                <c:pt idx="0">
                  <c:v>549.24677685011648</c:v>
                </c:pt>
                <c:pt idx="1">
                  <c:v>473.00950364025243</c:v>
                </c:pt>
                <c:pt idx="2">
                  <c:v>299.0343134981045</c:v>
                </c:pt>
                <c:pt idx="3">
                  <c:v>298.14339493497607</c:v>
                </c:pt>
                <c:pt idx="4">
                  <c:v>254.04861169915139</c:v>
                </c:pt>
              </c:numCache>
            </c:numRef>
          </c:val>
          <c:extLst>
            <c:ext xmlns:c16="http://schemas.microsoft.com/office/drawing/2014/chart" uri="{C3380CC4-5D6E-409C-BE32-E72D297353CC}">
              <c16:uniqueId val="{0000000C-98A5-409E-B266-C6AB3147F3F4}"/>
            </c:ext>
          </c:extLst>
        </c:ser>
        <c:dLbls>
          <c:dLblPos val="outEnd"/>
          <c:showLegendKey val="0"/>
          <c:showVal val="1"/>
          <c:showCatName val="0"/>
          <c:showSerName val="0"/>
          <c:showPercent val="0"/>
          <c:showBubbleSize val="0"/>
        </c:dLbls>
        <c:gapWidth val="25"/>
        <c:overlap val="-27"/>
        <c:axId val="1047472511"/>
        <c:axId val="1047472927"/>
      </c:barChart>
      <c:catAx>
        <c:axId val="104747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odoni MT" panose="02070603080606020203" pitchFamily="18" charset="0"/>
                <a:ea typeface="+mn-ea"/>
                <a:cs typeface="+mn-cs"/>
              </a:defRPr>
            </a:pPr>
            <a:endParaRPr lang="en-NG"/>
          </a:p>
        </c:txPr>
        <c:crossAx val="1047472927"/>
        <c:crosses val="autoZero"/>
        <c:auto val="1"/>
        <c:lblAlgn val="ctr"/>
        <c:lblOffset val="100"/>
        <c:noMultiLvlLbl val="0"/>
      </c:catAx>
      <c:valAx>
        <c:axId val="1047472927"/>
        <c:scaling>
          <c:orientation val="minMax"/>
        </c:scaling>
        <c:delete val="1"/>
        <c:axPos val="l"/>
        <c:majorGridlines>
          <c:spPr>
            <a:ln w="9525" cap="flat" cmpd="sng" algn="ctr">
              <a:solidFill>
                <a:schemeClr val="bg1">
                  <a:lumMod val="95000"/>
                </a:schemeClr>
              </a:solidFill>
              <a:round/>
            </a:ln>
            <a:effectLst/>
          </c:spPr>
        </c:majorGridlines>
        <c:numFmt formatCode="0.00" sourceLinked="1"/>
        <c:majorTickMark val="none"/>
        <c:minorTickMark val="none"/>
        <c:tickLblPos val="nextTo"/>
        <c:crossAx val="104747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37.xlsx]Countries with decline in growt!PivotTable1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aseline="0">
                <a:effectLst/>
                <a:latin typeface="Bodoni MT" panose="02070603080606020203" pitchFamily="18" charset="0"/>
              </a:rPr>
              <a:t>Countries with decline in growth rate %</a:t>
            </a:r>
            <a:endParaRPr lang="en-NG" sz="1400">
              <a:effectLst/>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pivotFmt>
      <c:pivotFmt>
        <c:idx val="15"/>
        <c:spPr>
          <a:solidFill>
            <a:schemeClr val="accent1">
              <a:lumMod val="75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40000"/>
              <a:lumOff val="6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75000"/>
            </a:schemeClr>
          </a:solidFill>
          <a:ln>
            <a:noFill/>
          </a:ln>
          <a:effectLst/>
        </c:spPr>
      </c:pivotFmt>
      <c:pivotFmt>
        <c:idx val="27"/>
        <c:spPr>
          <a:solidFill>
            <a:schemeClr val="accent1">
              <a:lumMod val="60000"/>
              <a:lumOff val="40000"/>
            </a:schemeClr>
          </a:solidFill>
          <a:ln>
            <a:noFill/>
          </a:ln>
          <a:effectLst/>
        </c:spPr>
      </c:pivotFmt>
      <c:pivotFmt>
        <c:idx val="28"/>
        <c:spPr>
          <a:solidFill>
            <a:schemeClr val="accent1">
              <a:lumMod val="40000"/>
              <a:lumOff val="6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lumMod val="50000"/>
            </a:schemeClr>
          </a:solidFill>
          <a:ln>
            <a:noFill/>
          </a:ln>
          <a:effectLst/>
        </c:spPr>
      </c:pivotFmt>
      <c:pivotFmt>
        <c:idx val="31"/>
        <c:spPr>
          <a:solidFill>
            <a:schemeClr val="accent1">
              <a:lumMod val="75000"/>
            </a:schemeClr>
          </a:solidFill>
          <a:ln>
            <a:noFill/>
          </a:ln>
          <a:effectLst/>
        </c:spPr>
      </c:pivotFmt>
      <c:pivotFmt>
        <c:idx val="32"/>
        <c:spPr>
          <a:solidFill>
            <a:schemeClr val="accent1">
              <a:lumMod val="60000"/>
              <a:lumOff val="40000"/>
            </a:schemeClr>
          </a:solidFill>
          <a:ln>
            <a:noFill/>
          </a:ln>
          <a:effectLst/>
        </c:spPr>
      </c:pivotFmt>
      <c:pivotFmt>
        <c:idx val="33"/>
        <c:spPr>
          <a:solidFill>
            <a:schemeClr val="accent1">
              <a:lumMod val="40000"/>
              <a:lumOff val="60000"/>
            </a:schemeClr>
          </a:solidFill>
          <a:ln>
            <a:noFill/>
          </a:ln>
          <a:effectLst/>
        </c:spPr>
      </c:pivotFmt>
      <c:pivotFmt>
        <c:idx val="34"/>
        <c:spPr>
          <a:solidFill>
            <a:schemeClr val="accent1">
              <a:lumMod val="20000"/>
              <a:lumOff val="80000"/>
            </a:schemeClr>
          </a:solidFill>
          <a:ln>
            <a:noFill/>
          </a:ln>
          <a:effectLst/>
        </c:spPr>
      </c:pivotFmt>
    </c:pivotFmts>
    <c:plotArea>
      <c:layout/>
      <c:barChart>
        <c:barDir val="col"/>
        <c:grouping val="clustered"/>
        <c:varyColors val="0"/>
        <c:ser>
          <c:idx val="0"/>
          <c:order val="0"/>
          <c:tx>
            <c:strRef>
              <c:f>'Countries with decline in growt'!$B$3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81B9-4D20-AEB8-4C35867D06B4}"/>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81B9-4D20-AEB8-4C35867D06B4}"/>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81B9-4D20-AEB8-4C35867D06B4}"/>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81B9-4D20-AEB8-4C35867D06B4}"/>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81B9-4D20-AEB8-4C35867D06B4}"/>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'Countries with decline in growt'!$A$4:$A$8</c:f>
              <c:strCache>
                <c:ptCount val="5"/>
                <c:pt idx="0">
                  <c:v>Latvia</c:v>
                </c:pt>
                <c:pt idx="1">
                  <c:v>Bosnia and Herzegovina</c:v>
                </c:pt>
                <c:pt idx="2">
                  <c:v>Ukraine</c:v>
                </c:pt>
                <c:pt idx="3">
                  <c:v>Bulgaria</c:v>
                </c:pt>
                <c:pt idx="4">
                  <c:v>Georgia</c:v>
                </c:pt>
              </c:strCache>
            </c:strRef>
          </c:cat>
          <c:val>
            <c:numRef>
              <c:f>'Countries with decline in growt'!$B$4:$B$8</c:f>
              <c:numCache>
                <c:formatCode>0.00</c:formatCode>
                <c:ptCount val="5"/>
                <c:pt idx="0">
                  <c:v>-30.066263610287216</c:v>
                </c:pt>
                <c:pt idx="1">
                  <c:v>-28.871644713949301</c:v>
                </c:pt>
                <c:pt idx="2">
                  <c:v>-27.26754123383806</c:v>
                </c:pt>
                <c:pt idx="3">
                  <c:v>-26.082216361490197</c:v>
                </c:pt>
                <c:pt idx="4">
                  <c:v>-23.493336109954186</c:v>
                </c:pt>
              </c:numCache>
            </c:numRef>
          </c:val>
          <c:extLst>
            <c:ext xmlns:c16="http://schemas.microsoft.com/office/drawing/2014/chart" uri="{C3380CC4-5D6E-409C-BE32-E72D297353CC}">
              <c16:uniqueId val="{0000000A-81B9-4D20-AEB8-4C35867D06B4}"/>
            </c:ext>
          </c:extLst>
        </c:ser>
        <c:dLbls>
          <c:dLblPos val="outEnd"/>
          <c:showLegendKey val="0"/>
          <c:showVal val="1"/>
          <c:showCatName val="0"/>
          <c:showSerName val="0"/>
          <c:showPercent val="0"/>
          <c:showBubbleSize val="0"/>
        </c:dLbls>
        <c:gapWidth val="25"/>
        <c:overlap val="-27"/>
        <c:axId val="1047472511"/>
        <c:axId val="1047472927"/>
      </c:barChart>
      <c:catAx>
        <c:axId val="1047472511"/>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odoni MT" panose="02070603080606020203" pitchFamily="18" charset="0"/>
                <a:ea typeface="+mn-ea"/>
                <a:cs typeface="+mn-cs"/>
              </a:defRPr>
            </a:pPr>
            <a:endParaRPr lang="en-NG"/>
          </a:p>
        </c:txPr>
        <c:crossAx val="1047472927"/>
        <c:crosses val="autoZero"/>
        <c:auto val="1"/>
        <c:lblAlgn val="ctr"/>
        <c:lblOffset val="100"/>
        <c:noMultiLvlLbl val="0"/>
      </c:catAx>
      <c:valAx>
        <c:axId val="1047472927"/>
        <c:scaling>
          <c:orientation val="minMax"/>
        </c:scaling>
        <c:delete val="1"/>
        <c:axPos val="l"/>
        <c:majorGridlines>
          <c:spPr>
            <a:ln w="9525" cap="flat" cmpd="sng" algn="ctr">
              <a:solidFill>
                <a:schemeClr val="bg1">
                  <a:lumMod val="95000"/>
                </a:schemeClr>
              </a:solidFill>
              <a:round/>
            </a:ln>
            <a:effectLst/>
          </c:spPr>
        </c:majorGridlines>
        <c:numFmt formatCode="0.00" sourceLinked="1"/>
        <c:majorTickMark val="none"/>
        <c:minorTickMark val="none"/>
        <c:tickLblPos val="nextTo"/>
        <c:crossAx val="104747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37.xlsx]Avg annual growth rate!PivotTable1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latin typeface="Bodoni MT" panose="02070603080606020203" pitchFamily="18" charset="0"/>
              </a:rPr>
              <a:t>Avg annual growth rate by region</a:t>
            </a:r>
            <a:endParaRPr lang="en-NG" sz="1400">
              <a:effectLst/>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pivotFmt>
      <c:pivotFmt>
        <c:idx val="15"/>
        <c:spPr>
          <a:solidFill>
            <a:schemeClr val="accent1">
              <a:lumMod val="75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40000"/>
              <a:lumOff val="6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75000"/>
            </a:schemeClr>
          </a:solidFill>
          <a:ln>
            <a:noFill/>
          </a:ln>
          <a:effectLst/>
        </c:spPr>
      </c:pivotFmt>
      <c:pivotFmt>
        <c:idx val="27"/>
        <c:spPr>
          <a:solidFill>
            <a:schemeClr val="accent1">
              <a:lumMod val="60000"/>
              <a:lumOff val="40000"/>
            </a:schemeClr>
          </a:solidFill>
          <a:ln>
            <a:noFill/>
          </a:ln>
          <a:effectLst/>
        </c:spPr>
      </c:pivotFmt>
      <c:pivotFmt>
        <c:idx val="28"/>
        <c:spPr>
          <a:solidFill>
            <a:schemeClr val="accent1">
              <a:lumMod val="40000"/>
              <a:lumOff val="6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lumMod val="50000"/>
            </a:schemeClr>
          </a:solidFill>
          <a:ln>
            <a:noFill/>
          </a:ln>
          <a:effectLst/>
        </c:spPr>
      </c:pivotFmt>
      <c:pivotFmt>
        <c:idx val="31"/>
        <c:spPr>
          <a:solidFill>
            <a:schemeClr val="accent1">
              <a:lumMod val="75000"/>
            </a:schemeClr>
          </a:solidFill>
          <a:ln>
            <a:noFill/>
          </a:ln>
          <a:effectLst/>
        </c:spPr>
      </c:pivotFmt>
      <c:pivotFmt>
        <c:idx val="32"/>
        <c:spPr>
          <a:solidFill>
            <a:schemeClr val="accent1">
              <a:lumMod val="60000"/>
              <a:lumOff val="40000"/>
            </a:schemeClr>
          </a:solidFill>
          <a:ln>
            <a:noFill/>
          </a:ln>
          <a:effectLst/>
        </c:spPr>
      </c:pivotFmt>
      <c:pivotFmt>
        <c:idx val="33"/>
        <c:spPr>
          <a:solidFill>
            <a:schemeClr val="accent1">
              <a:lumMod val="40000"/>
              <a:lumOff val="60000"/>
            </a:schemeClr>
          </a:solidFill>
          <a:ln>
            <a:noFill/>
          </a:ln>
          <a:effectLst/>
        </c:spPr>
      </c:pivotFmt>
      <c:pivotFmt>
        <c:idx val="34"/>
        <c:spPr>
          <a:solidFill>
            <a:schemeClr val="accent1">
              <a:lumMod val="20000"/>
              <a:lumOff val="80000"/>
            </a:schemeClr>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a:noFill/>
          </a:ln>
          <a:effectLst/>
        </c:spPr>
      </c:pivotFmt>
      <c:pivotFmt>
        <c:idx val="37"/>
        <c:spPr>
          <a:solidFill>
            <a:schemeClr val="accent1">
              <a:lumMod val="75000"/>
            </a:schemeClr>
          </a:solidFill>
          <a:ln>
            <a:noFill/>
          </a:ln>
          <a:effectLst/>
        </c:spPr>
      </c:pivotFmt>
      <c:pivotFmt>
        <c:idx val="38"/>
        <c:spPr>
          <a:solidFill>
            <a:schemeClr val="accent1">
              <a:lumMod val="60000"/>
              <a:lumOff val="40000"/>
            </a:schemeClr>
          </a:solidFill>
          <a:ln>
            <a:noFill/>
          </a:ln>
          <a:effectLst/>
        </c:spPr>
      </c:pivotFmt>
      <c:pivotFmt>
        <c:idx val="39"/>
        <c:spPr>
          <a:solidFill>
            <a:schemeClr val="accent1">
              <a:lumMod val="40000"/>
              <a:lumOff val="60000"/>
            </a:schemeClr>
          </a:solidFill>
          <a:ln>
            <a:noFill/>
          </a:ln>
          <a:effectLst/>
        </c:spPr>
      </c:pivotFmt>
      <c:pivotFmt>
        <c:idx val="40"/>
        <c:spPr>
          <a:solidFill>
            <a:schemeClr val="accent1">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60000"/>
              <a:lumOff val="40000"/>
            </a:schemeClr>
          </a:solidFill>
          <a:ln>
            <a:noFill/>
          </a:ln>
          <a:effectLst/>
        </c:spPr>
      </c:pivotFmt>
      <c:pivotFmt>
        <c:idx val="46"/>
        <c:spPr>
          <a:solidFill>
            <a:schemeClr val="accent1">
              <a:lumMod val="40000"/>
              <a:lumOff val="60000"/>
            </a:schemeClr>
          </a:solidFill>
          <a:ln>
            <a:noFill/>
          </a:ln>
          <a:effectLst/>
        </c:spPr>
      </c:pivotFmt>
      <c:pivotFmt>
        <c:idx val="47"/>
        <c:spPr>
          <a:solidFill>
            <a:schemeClr val="accent1">
              <a:lumMod val="20000"/>
              <a:lumOff val="80000"/>
            </a:schemeClr>
          </a:solidFill>
          <a:ln>
            <a:noFill/>
          </a:ln>
          <a:effectLst/>
        </c:spPr>
      </c:pivotFmt>
    </c:pivotFmts>
    <c:plotArea>
      <c:layout/>
      <c:barChart>
        <c:barDir val="col"/>
        <c:grouping val="clustered"/>
        <c:varyColors val="0"/>
        <c:ser>
          <c:idx val="0"/>
          <c:order val="0"/>
          <c:tx>
            <c:strRef>
              <c:f>'Avg annual growth rate'!$B$3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D-1722-4E18-811C-0396349A455D}"/>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E-1722-4E18-811C-0396349A455D}"/>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F-1722-4E18-811C-0396349A455D}"/>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0-1722-4E18-811C-0396349A455D}"/>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11-1722-4E18-811C-0396349A455D}"/>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12-1722-4E18-811C-0396349A455D}"/>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annual growth rate'!$A$4:$A$9</c:f>
              <c:strCache>
                <c:ptCount val="6"/>
                <c:pt idx="0">
                  <c:v>Africa</c:v>
                </c:pt>
                <c:pt idx="1">
                  <c:v>Asia</c:v>
                </c:pt>
                <c:pt idx="2">
                  <c:v>South America</c:v>
                </c:pt>
                <c:pt idx="3">
                  <c:v>North America</c:v>
                </c:pt>
                <c:pt idx="4">
                  <c:v>Oceania</c:v>
                </c:pt>
                <c:pt idx="5">
                  <c:v>Europe</c:v>
                </c:pt>
              </c:strCache>
            </c:strRef>
          </c:cat>
          <c:val>
            <c:numRef>
              <c:f>'Avg annual growth rate'!$B$4:$B$9</c:f>
              <c:numCache>
                <c:formatCode>0.00</c:formatCode>
                <c:ptCount val="6"/>
                <c:pt idx="0">
                  <c:v>2.3957924392809242</c:v>
                </c:pt>
                <c:pt idx="1">
                  <c:v>1.8647661616085429</c:v>
                </c:pt>
                <c:pt idx="2">
                  <c:v>1.1407846558064578</c:v>
                </c:pt>
                <c:pt idx="3">
                  <c:v>1.0663067305409659</c:v>
                </c:pt>
                <c:pt idx="4">
                  <c:v>0.96051296511979456</c:v>
                </c:pt>
                <c:pt idx="5">
                  <c:v>0.20827593219386342</c:v>
                </c:pt>
              </c:numCache>
            </c:numRef>
          </c:val>
          <c:extLst>
            <c:ext xmlns:c16="http://schemas.microsoft.com/office/drawing/2014/chart" uri="{C3380CC4-5D6E-409C-BE32-E72D297353CC}">
              <c16:uniqueId val="{0000000C-1722-4E18-811C-0396349A455D}"/>
            </c:ext>
          </c:extLst>
        </c:ser>
        <c:dLbls>
          <c:dLblPos val="outEnd"/>
          <c:showLegendKey val="0"/>
          <c:showVal val="1"/>
          <c:showCatName val="0"/>
          <c:showSerName val="0"/>
          <c:showPercent val="0"/>
          <c:showBubbleSize val="0"/>
        </c:dLbls>
        <c:gapWidth val="25"/>
        <c:overlap val="-27"/>
        <c:axId val="1047472511"/>
        <c:axId val="1047472927"/>
      </c:barChart>
      <c:catAx>
        <c:axId val="104747251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odoni MT" panose="02070603080606020203" pitchFamily="18" charset="0"/>
                <a:ea typeface="+mn-ea"/>
                <a:cs typeface="+mn-cs"/>
              </a:defRPr>
            </a:pPr>
            <a:endParaRPr lang="en-NG"/>
          </a:p>
        </c:txPr>
        <c:crossAx val="1047472927"/>
        <c:crosses val="autoZero"/>
        <c:auto val="1"/>
        <c:lblAlgn val="ctr"/>
        <c:lblOffset val="100"/>
        <c:noMultiLvlLbl val="0"/>
      </c:catAx>
      <c:valAx>
        <c:axId val="1047472927"/>
        <c:scaling>
          <c:orientation val="minMax"/>
        </c:scaling>
        <c:delete val="1"/>
        <c:axPos val="l"/>
        <c:majorGridlines>
          <c:spPr>
            <a:ln w="9525" cap="flat" cmpd="sng" algn="ctr">
              <a:solidFill>
                <a:schemeClr val="bg1">
                  <a:lumMod val="95000"/>
                </a:schemeClr>
              </a:solidFill>
              <a:round/>
            </a:ln>
            <a:effectLst/>
          </c:spPr>
        </c:majorGridlines>
        <c:numFmt formatCode="0.00" sourceLinked="1"/>
        <c:majorTickMark val="none"/>
        <c:minorTickMark val="none"/>
        <c:tickLblPos val="nextTo"/>
        <c:crossAx val="104747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37.xlsx]6 countries contributed to 24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latin typeface="Bodoni MT" panose="02070603080606020203" pitchFamily="18" charset="0"/>
              </a:rPr>
              <a:t>Top 6 countries that contributed to global population in 2024</a:t>
            </a:r>
            <a:endParaRPr lang="en-NG" sz="1400">
              <a:effectLst/>
              <a:latin typeface="Bodoni MT" panose="02070603080606020203" pitchFamily="18" charset="0"/>
            </a:endParaRPr>
          </a:p>
        </c:rich>
      </c:tx>
      <c:layout>
        <c:manualLayout>
          <c:xMode val="edge"/>
          <c:yMode val="edge"/>
          <c:x val="0.16384809754972374"/>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pivotFmt>
      <c:pivotFmt>
        <c:idx val="15"/>
        <c:spPr>
          <a:solidFill>
            <a:schemeClr val="accent1">
              <a:lumMod val="75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40000"/>
              <a:lumOff val="6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75000"/>
            </a:schemeClr>
          </a:solidFill>
          <a:ln>
            <a:noFill/>
          </a:ln>
          <a:effectLst/>
        </c:spPr>
      </c:pivotFmt>
      <c:pivotFmt>
        <c:idx val="27"/>
        <c:spPr>
          <a:solidFill>
            <a:schemeClr val="accent1">
              <a:lumMod val="60000"/>
              <a:lumOff val="40000"/>
            </a:schemeClr>
          </a:solidFill>
          <a:ln>
            <a:noFill/>
          </a:ln>
          <a:effectLst/>
        </c:spPr>
      </c:pivotFmt>
      <c:pivotFmt>
        <c:idx val="28"/>
        <c:spPr>
          <a:solidFill>
            <a:schemeClr val="accent1">
              <a:lumMod val="40000"/>
              <a:lumOff val="6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lumMod val="50000"/>
            </a:schemeClr>
          </a:solidFill>
          <a:ln>
            <a:noFill/>
          </a:ln>
          <a:effectLst/>
        </c:spPr>
      </c:pivotFmt>
      <c:pivotFmt>
        <c:idx val="31"/>
        <c:spPr>
          <a:solidFill>
            <a:schemeClr val="accent1">
              <a:lumMod val="75000"/>
            </a:schemeClr>
          </a:solidFill>
          <a:ln>
            <a:noFill/>
          </a:ln>
          <a:effectLst/>
        </c:spPr>
      </c:pivotFmt>
      <c:pivotFmt>
        <c:idx val="32"/>
        <c:spPr>
          <a:solidFill>
            <a:schemeClr val="accent1">
              <a:lumMod val="60000"/>
              <a:lumOff val="40000"/>
            </a:schemeClr>
          </a:solidFill>
          <a:ln>
            <a:noFill/>
          </a:ln>
          <a:effectLst/>
        </c:spPr>
      </c:pivotFmt>
      <c:pivotFmt>
        <c:idx val="33"/>
        <c:spPr>
          <a:solidFill>
            <a:schemeClr val="accent1">
              <a:lumMod val="40000"/>
              <a:lumOff val="60000"/>
            </a:schemeClr>
          </a:solidFill>
          <a:ln>
            <a:noFill/>
          </a:ln>
          <a:effectLst/>
        </c:spPr>
      </c:pivotFmt>
      <c:pivotFmt>
        <c:idx val="34"/>
        <c:spPr>
          <a:solidFill>
            <a:schemeClr val="accent1">
              <a:lumMod val="20000"/>
              <a:lumOff val="80000"/>
            </a:schemeClr>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a:noFill/>
          </a:ln>
          <a:effectLst/>
        </c:spPr>
      </c:pivotFmt>
      <c:pivotFmt>
        <c:idx val="37"/>
        <c:spPr>
          <a:solidFill>
            <a:schemeClr val="accent1">
              <a:lumMod val="75000"/>
            </a:schemeClr>
          </a:solidFill>
          <a:ln>
            <a:noFill/>
          </a:ln>
          <a:effectLst/>
        </c:spPr>
      </c:pivotFmt>
      <c:pivotFmt>
        <c:idx val="38"/>
        <c:spPr>
          <a:solidFill>
            <a:schemeClr val="accent1">
              <a:lumMod val="60000"/>
              <a:lumOff val="40000"/>
            </a:schemeClr>
          </a:solidFill>
          <a:ln>
            <a:noFill/>
          </a:ln>
          <a:effectLst/>
        </c:spPr>
      </c:pivotFmt>
      <c:pivotFmt>
        <c:idx val="39"/>
        <c:spPr>
          <a:solidFill>
            <a:schemeClr val="accent1">
              <a:lumMod val="40000"/>
              <a:lumOff val="60000"/>
            </a:schemeClr>
          </a:solidFill>
          <a:ln>
            <a:noFill/>
          </a:ln>
          <a:effectLst/>
        </c:spPr>
      </c:pivotFmt>
      <c:pivotFmt>
        <c:idx val="40"/>
        <c:spPr>
          <a:solidFill>
            <a:schemeClr val="accent1">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60000"/>
              <a:lumOff val="40000"/>
            </a:schemeClr>
          </a:solidFill>
          <a:ln>
            <a:noFill/>
          </a:ln>
          <a:effectLst/>
        </c:spPr>
      </c:pivotFmt>
      <c:pivotFmt>
        <c:idx val="46"/>
        <c:spPr>
          <a:solidFill>
            <a:schemeClr val="accent1">
              <a:lumMod val="40000"/>
              <a:lumOff val="60000"/>
            </a:schemeClr>
          </a:solidFill>
          <a:ln>
            <a:noFill/>
          </a:ln>
          <a:effectLst/>
        </c:spPr>
      </c:pivotFmt>
      <c:pivotFmt>
        <c:idx val="47"/>
        <c:spPr>
          <a:solidFill>
            <a:schemeClr val="accent1">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lumMod val="50000"/>
            </a:schemeClr>
          </a:solidFill>
          <a:ln>
            <a:noFill/>
          </a:ln>
          <a:effectLst/>
        </c:spPr>
      </c:pivotFmt>
      <c:pivotFmt>
        <c:idx val="50"/>
        <c:spPr>
          <a:solidFill>
            <a:schemeClr val="accent1">
              <a:lumMod val="75000"/>
            </a:schemeClr>
          </a:solidFill>
          <a:ln>
            <a:noFill/>
          </a:ln>
          <a:effectLst/>
        </c:spPr>
      </c:pivotFmt>
      <c:pivotFmt>
        <c:idx val="51"/>
        <c:spPr>
          <a:solidFill>
            <a:schemeClr val="accent1">
              <a:lumMod val="60000"/>
              <a:lumOff val="40000"/>
            </a:schemeClr>
          </a:solidFill>
          <a:ln>
            <a:noFill/>
          </a:ln>
          <a:effectLst/>
        </c:spPr>
      </c:pivotFmt>
      <c:pivotFmt>
        <c:idx val="52"/>
        <c:spPr>
          <a:solidFill>
            <a:schemeClr val="accent1">
              <a:lumMod val="60000"/>
              <a:lumOff val="40000"/>
            </a:schemeClr>
          </a:solidFill>
          <a:ln>
            <a:noFill/>
          </a:ln>
          <a:effectLst/>
        </c:spPr>
      </c:pivotFmt>
      <c:pivotFmt>
        <c:idx val="53"/>
        <c:spPr>
          <a:solidFill>
            <a:schemeClr val="accent1">
              <a:lumMod val="40000"/>
              <a:lumOff val="60000"/>
            </a:schemeClr>
          </a:solidFill>
          <a:ln>
            <a:noFill/>
          </a:ln>
          <a:effectLst/>
        </c:spPr>
      </c:pivotFmt>
      <c:pivotFmt>
        <c:idx val="54"/>
        <c:spPr>
          <a:solidFill>
            <a:schemeClr val="accent1">
              <a:lumMod val="20000"/>
              <a:lumOff val="80000"/>
            </a:schemeClr>
          </a:solidFill>
          <a:ln>
            <a:noFill/>
          </a:ln>
          <a:effectLst/>
        </c:spPr>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lumMod val="50000"/>
            </a:schemeClr>
          </a:solidFill>
          <a:ln>
            <a:noFill/>
          </a:ln>
          <a:effectLst/>
        </c:spPr>
      </c:pivotFmt>
      <c:pivotFmt>
        <c:idx val="57"/>
        <c:spPr>
          <a:solidFill>
            <a:schemeClr val="accent1">
              <a:lumMod val="75000"/>
            </a:schemeClr>
          </a:solidFill>
          <a:ln>
            <a:noFill/>
          </a:ln>
          <a:effectLst/>
        </c:spPr>
      </c:pivotFmt>
      <c:pivotFmt>
        <c:idx val="58"/>
        <c:spPr>
          <a:solidFill>
            <a:schemeClr val="accent1">
              <a:lumMod val="60000"/>
              <a:lumOff val="40000"/>
            </a:schemeClr>
          </a:solidFill>
          <a:ln>
            <a:noFill/>
          </a:ln>
          <a:effectLst/>
        </c:spPr>
      </c:pivotFmt>
      <c:pivotFmt>
        <c:idx val="59"/>
        <c:spPr>
          <a:solidFill>
            <a:schemeClr val="accent1">
              <a:lumMod val="40000"/>
              <a:lumOff val="60000"/>
            </a:schemeClr>
          </a:solidFill>
          <a:ln>
            <a:noFill/>
          </a:ln>
          <a:effectLst/>
        </c:spPr>
      </c:pivotFmt>
      <c:pivotFmt>
        <c:idx val="60"/>
        <c:spPr>
          <a:solidFill>
            <a:schemeClr val="accent1">
              <a:lumMod val="20000"/>
              <a:lumOff val="80000"/>
            </a:schemeClr>
          </a:solidFill>
          <a:ln>
            <a:noFill/>
          </a:ln>
          <a:effectLst/>
        </c:spPr>
        <c:dLbl>
          <c:idx val="0"/>
          <c:layout>
            <c:manualLayout>
              <c:x val="-7.7230359520639197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3">
              <a:lumMod val="20000"/>
              <a:lumOff val="80000"/>
            </a:schemeClr>
          </a:solidFill>
          <a:ln>
            <a:noFill/>
          </a:ln>
          <a:effectLst/>
        </c:spPr>
        <c:dLbl>
          <c:idx val="0"/>
          <c:layout>
            <c:manualLayout>
              <c:x val="-2.1304926764314298E-2"/>
              <c:y val="-0.1296296296296296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'6 countries contributed to 24 '!$B$3</c:f>
              <c:strCache>
                <c:ptCount val="1"/>
                <c:pt idx="0">
                  <c:v>Total</c:v>
                </c:pt>
              </c:strCache>
            </c:strRef>
          </c:tx>
          <c:spPr>
            <a:ln>
              <a:noFill/>
            </a:ln>
          </c:spPr>
          <c:dPt>
            <c:idx val="0"/>
            <c:bubble3D val="0"/>
            <c:spPr>
              <a:solidFill>
                <a:schemeClr val="accent1">
                  <a:lumMod val="50000"/>
                </a:schemeClr>
              </a:solidFill>
              <a:ln>
                <a:noFill/>
              </a:ln>
              <a:effectLst/>
            </c:spPr>
            <c:extLst>
              <c:ext xmlns:c16="http://schemas.microsoft.com/office/drawing/2014/chart" uri="{C3380CC4-5D6E-409C-BE32-E72D297353CC}">
                <c16:uniqueId val="{0000000F-E74D-4405-B8E6-F59070EF656B}"/>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10-E74D-4405-B8E6-F59070EF656B}"/>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11-E74D-4405-B8E6-F59070EF656B}"/>
              </c:ext>
            </c:extLst>
          </c:dPt>
          <c:dPt>
            <c:idx val="3"/>
            <c:bubble3D val="0"/>
            <c:spPr>
              <a:solidFill>
                <a:schemeClr val="accent1">
                  <a:lumMod val="40000"/>
                  <a:lumOff val="60000"/>
                </a:schemeClr>
              </a:solidFill>
              <a:ln>
                <a:noFill/>
              </a:ln>
              <a:effectLst/>
            </c:spPr>
            <c:extLst>
              <c:ext xmlns:c16="http://schemas.microsoft.com/office/drawing/2014/chart" uri="{C3380CC4-5D6E-409C-BE32-E72D297353CC}">
                <c16:uniqueId val="{00000012-E74D-4405-B8E6-F59070EF656B}"/>
              </c:ext>
            </c:extLst>
          </c:dPt>
          <c:dPt>
            <c:idx val="4"/>
            <c:bubble3D val="0"/>
            <c:spPr>
              <a:solidFill>
                <a:schemeClr val="accent1">
                  <a:lumMod val="20000"/>
                  <a:lumOff val="80000"/>
                </a:schemeClr>
              </a:solidFill>
              <a:ln>
                <a:noFill/>
              </a:ln>
              <a:effectLst/>
            </c:spPr>
            <c:extLst>
              <c:ext xmlns:c16="http://schemas.microsoft.com/office/drawing/2014/chart" uri="{C3380CC4-5D6E-409C-BE32-E72D297353CC}">
                <c16:uniqueId val="{00000013-E74D-4405-B8E6-F59070EF656B}"/>
              </c:ext>
            </c:extLst>
          </c:dPt>
          <c:dPt>
            <c:idx val="5"/>
            <c:bubble3D val="0"/>
            <c:spPr>
              <a:solidFill>
                <a:schemeClr val="accent3">
                  <a:lumMod val="20000"/>
                  <a:lumOff val="80000"/>
                </a:schemeClr>
              </a:solidFill>
              <a:ln>
                <a:noFill/>
              </a:ln>
              <a:effectLst/>
            </c:spPr>
            <c:extLst>
              <c:ext xmlns:c16="http://schemas.microsoft.com/office/drawing/2014/chart" uri="{C3380CC4-5D6E-409C-BE32-E72D297353CC}">
                <c16:uniqueId val="{00000014-E74D-4405-B8E6-F59070EF656B}"/>
              </c:ext>
            </c:extLst>
          </c:dPt>
          <c:dLbls>
            <c:dLbl>
              <c:idx val="4"/>
              <c:layout>
                <c:manualLayout>
                  <c:x val="-7.7230359520639197E-2"/>
                  <c:y val="-0.106481481481481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74D-4405-B8E6-F59070EF656B}"/>
                </c:ext>
              </c:extLst>
            </c:dLbl>
            <c:dLbl>
              <c:idx val="5"/>
              <c:layout>
                <c:manualLayout>
                  <c:x val="-2.1304926764314298E-2"/>
                  <c:y val="-0.129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74D-4405-B8E6-F59070EF656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'6 countries contributed to 24 '!$A$4:$A$9</c:f>
              <c:strCache>
                <c:ptCount val="6"/>
                <c:pt idx="0">
                  <c:v>India</c:v>
                </c:pt>
                <c:pt idx="1">
                  <c:v>China</c:v>
                </c:pt>
                <c:pt idx="2">
                  <c:v>United States</c:v>
                </c:pt>
                <c:pt idx="3">
                  <c:v>Indonesia</c:v>
                </c:pt>
                <c:pt idx="4">
                  <c:v>Pakistan</c:v>
                </c:pt>
                <c:pt idx="5">
                  <c:v>Nigeria</c:v>
                </c:pt>
              </c:strCache>
            </c:strRef>
          </c:cat>
          <c:val>
            <c:numRef>
              <c:f>'6 countries contributed to 24 '!$B$4:$B$9</c:f>
              <c:numCache>
                <c:formatCode>0.00%</c:formatCode>
                <c:ptCount val="6"/>
                <c:pt idx="0">
                  <c:v>0.36570914229473428</c:v>
                </c:pt>
                <c:pt idx="1">
                  <c:v>0.35513290247640134</c:v>
                </c:pt>
                <c:pt idx="2">
                  <c:v>8.572515646662042E-2</c:v>
                </c:pt>
                <c:pt idx="3">
                  <c:v>7.1453284659457966E-2</c:v>
                </c:pt>
                <c:pt idx="4">
                  <c:v>6.3332527201787753E-2</c:v>
                </c:pt>
                <c:pt idx="5">
                  <c:v>5.8646986900998226E-2</c:v>
                </c:pt>
              </c:numCache>
            </c:numRef>
          </c:val>
          <c:extLst>
            <c:ext xmlns:c16="http://schemas.microsoft.com/office/drawing/2014/chart" uri="{C3380CC4-5D6E-409C-BE32-E72D297353CC}">
              <c16:uniqueId val="{0000000E-E74D-4405-B8E6-F59070EF656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Bodoni MT" panose="020706030806060202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37.xlsx]Regional percent 2024!PivotTable1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latin typeface="Bodoni MT" panose="02070603080606020203" pitchFamily="18" charset="0"/>
              </a:rPr>
              <a:t>Regional Percentage in 2024</a:t>
            </a:r>
            <a:endParaRPr lang="en-NG" sz="1400">
              <a:effectLst/>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pivotFmt>
      <c:pivotFmt>
        <c:idx val="15"/>
        <c:spPr>
          <a:solidFill>
            <a:schemeClr val="accent1">
              <a:lumMod val="75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40000"/>
              <a:lumOff val="6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75000"/>
            </a:schemeClr>
          </a:solidFill>
          <a:ln>
            <a:noFill/>
          </a:ln>
          <a:effectLst/>
        </c:spPr>
      </c:pivotFmt>
      <c:pivotFmt>
        <c:idx val="27"/>
        <c:spPr>
          <a:solidFill>
            <a:schemeClr val="accent1">
              <a:lumMod val="60000"/>
              <a:lumOff val="40000"/>
            </a:schemeClr>
          </a:solidFill>
          <a:ln>
            <a:noFill/>
          </a:ln>
          <a:effectLst/>
        </c:spPr>
      </c:pivotFmt>
      <c:pivotFmt>
        <c:idx val="28"/>
        <c:spPr>
          <a:solidFill>
            <a:schemeClr val="accent1">
              <a:lumMod val="40000"/>
              <a:lumOff val="6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lumMod val="50000"/>
            </a:schemeClr>
          </a:solidFill>
          <a:ln>
            <a:noFill/>
          </a:ln>
          <a:effectLst/>
        </c:spPr>
      </c:pivotFmt>
      <c:pivotFmt>
        <c:idx val="31"/>
        <c:spPr>
          <a:solidFill>
            <a:schemeClr val="accent1">
              <a:lumMod val="75000"/>
            </a:schemeClr>
          </a:solidFill>
          <a:ln>
            <a:noFill/>
          </a:ln>
          <a:effectLst/>
        </c:spPr>
      </c:pivotFmt>
      <c:pivotFmt>
        <c:idx val="32"/>
        <c:spPr>
          <a:solidFill>
            <a:schemeClr val="accent1">
              <a:lumMod val="60000"/>
              <a:lumOff val="40000"/>
            </a:schemeClr>
          </a:solidFill>
          <a:ln>
            <a:noFill/>
          </a:ln>
          <a:effectLst/>
        </c:spPr>
      </c:pivotFmt>
      <c:pivotFmt>
        <c:idx val="33"/>
        <c:spPr>
          <a:solidFill>
            <a:schemeClr val="accent1">
              <a:lumMod val="40000"/>
              <a:lumOff val="60000"/>
            </a:schemeClr>
          </a:solidFill>
          <a:ln>
            <a:noFill/>
          </a:ln>
          <a:effectLst/>
        </c:spPr>
      </c:pivotFmt>
      <c:pivotFmt>
        <c:idx val="34"/>
        <c:spPr>
          <a:solidFill>
            <a:schemeClr val="accent1">
              <a:lumMod val="20000"/>
              <a:lumOff val="80000"/>
            </a:schemeClr>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a:noFill/>
          </a:ln>
          <a:effectLst/>
        </c:spPr>
      </c:pivotFmt>
      <c:pivotFmt>
        <c:idx val="37"/>
        <c:spPr>
          <a:solidFill>
            <a:schemeClr val="accent1">
              <a:lumMod val="75000"/>
            </a:schemeClr>
          </a:solidFill>
          <a:ln>
            <a:noFill/>
          </a:ln>
          <a:effectLst/>
        </c:spPr>
      </c:pivotFmt>
      <c:pivotFmt>
        <c:idx val="38"/>
        <c:spPr>
          <a:solidFill>
            <a:schemeClr val="accent1">
              <a:lumMod val="60000"/>
              <a:lumOff val="40000"/>
            </a:schemeClr>
          </a:solidFill>
          <a:ln>
            <a:noFill/>
          </a:ln>
          <a:effectLst/>
        </c:spPr>
      </c:pivotFmt>
      <c:pivotFmt>
        <c:idx val="39"/>
        <c:spPr>
          <a:solidFill>
            <a:schemeClr val="accent1">
              <a:lumMod val="40000"/>
              <a:lumOff val="60000"/>
            </a:schemeClr>
          </a:solidFill>
          <a:ln>
            <a:noFill/>
          </a:ln>
          <a:effectLst/>
        </c:spPr>
      </c:pivotFmt>
      <c:pivotFmt>
        <c:idx val="40"/>
        <c:spPr>
          <a:solidFill>
            <a:schemeClr val="accent1">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60000"/>
              <a:lumOff val="40000"/>
            </a:schemeClr>
          </a:solidFill>
          <a:ln>
            <a:noFill/>
          </a:ln>
          <a:effectLst/>
        </c:spPr>
      </c:pivotFmt>
      <c:pivotFmt>
        <c:idx val="46"/>
        <c:spPr>
          <a:solidFill>
            <a:schemeClr val="accent1">
              <a:lumMod val="40000"/>
              <a:lumOff val="60000"/>
            </a:schemeClr>
          </a:solidFill>
          <a:ln>
            <a:noFill/>
          </a:ln>
          <a:effectLst/>
        </c:spPr>
      </c:pivotFmt>
      <c:pivotFmt>
        <c:idx val="47"/>
        <c:spPr>
          <a:solidFill>
            <a:schemeClr val="accent1">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lumMod val="50000"/>
            </a:schemeClr>
          </a:solidFill>
          <a:ln>
            <a:noFill/>
          </a:ln>
          <a:effectLst/>
        </c:spPr>
      </c:pivotFmt>
      <c:pivotFmt>
        <c:idx val="50"/>
        <c:spPr>
          <a:solidFill>
            <a:schemeClr val="accent1">
              <a:lumMod val="75000"/>
            </a:schemeClr>
          </a:solidFill>
          <a:ln>
            <a:noFill/>
          </a:ln>
          <a:effectLst/>
        </c:spPr>
      </c:pivotFmt>
      <c:pivotFmt>
        <c:idx val="51"/>
        <c:spPr>
          <a:solidFill>
            <a:schemeClr val="accent1">
              <a:lumMod val="60000"/>
              <a:lumOff val="40000"/>
            </a:schemeClr>
          </a:solidFill>
          <a:ln>
            <a:noFill/>
          </a:ln>
          <a:effectLst/>
        </c:spPr>
      </c:pivotFmt>
      <c:pivotFmt>
        <c:idx val="52"/>
        <c:spPr>
          <a:solidFill>
            <a:schemeClr val="accent1">
              <a:lumMod val="60000"/>
              <a:lumOff val="40000"/>
            </a:schemeClr>
          </a:solidFill>
          <a:ln>
            <a:noFill/>
          </a:ln>
          <a:effectLst/>
        </c:spPr>
      </c:pivotFmt>
      <c:pivotFmt>
        <c:idx val="53"/>
        <c:spPr>
          <a:solidFill>
            <a:schemeClr val="accent1">
              <a:lumMod val="40000"/>
              <a:lumOff val="60000"/>
            </a:schemeClr>
          </a:solidFill>
          <a:ln>
            <a:noFill/>
          </a:ln>
          <a:effectLst/>
        </c:spPr>
      </c:pivotFmt>
      <c:pivotFmt>
        <c:idx val="54"/>
        <c:spPr>
          <a:solidFill>
            <a:schemeClr val="accent1">
              <a:lumMod val="20000"/>
              <a:lumOff val="80000"/>
            </a:schemeClr>
          </a:solidFill>
          <a:ln>
            <a:noFill/>
          </a:ln>
          <a:effectLst/>
        </c:spPr>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lumMod val="50000"/>
            </a:schemeClr>
          </a:solidFill>
          <a:ln>
            <a:noFill/>
          </a:ln>
          <a:effectLst/>
        </c:spPr>
      </c:pivotFmt>
      <c:pivotFmt>
        <c:idx val="57"/>
        <c:spPr>
          <a:solidFill>
            <a:schemeClr val="accent1">
              <a:lumMod val="75000"/>
            </a:schemeClr>
          </a:solidFill>
          <a:ln>
            <a:noFill/>
          </a:ln>
          <a:effectLst/>
        </c:spPr>
      </c:pivotFmt>
      <c:pivotFmt>
        <c:idx val="58"/>
        <c:spPr>
          <a:solidFill>
            <a:schemeClr val="accent1">
              <a:lumMod val="60000"/>
              <a:lumOff val="40000"/>
            </a:schemeClr>
          </a:solidFill>
          <a:ln>
            <a:noFill/>
          </a:ln>
          <a:effectLst/>
        </c:spPr>
      </c:pivotFmt>
      <c:pivotFmt>
        <c:idx val="59"/>
        <c:spPr>
          <a:solidFill>
            <a:schemeClr val="accent1">
              <a:lumMod val="40000"/>
              <a:lumOff val="60000"/>
            </a:schemeClr>
          </a:solidFill>
          <a:ln>
            <a:noFill/>
          </a:ln>
          <a:effectLst/>
        </c:spPr>
      </c:pivotFmt>
      <c:pivotFmt>
        <c:idx val="60"/>
        <c:spPr>
          <a:solidFill>
            <a:schemeClr val="accent1">
              <a:lumMod val="20000"/>
              <a:lumOff val="80000"/>
            </a:schemeClr>
          </a:solidFill>
          <a:ln>
            <a:noFill/>
          </a:ln>
          <a:effectLst/>
        </c:spPr>
      </c:pivotFmt>
      <c:pivotFmt>
        <c:idx val="61"/>
        <c:spPr>
          <a:solidFill>
            <a:schemeClr val="accent3">
              <a:lumMod val="20000"/>
              <a:lumOff val="80000"/>
            </a:schemeClr>
          </a:solidFill>
          <a:ln>
            <a:noFill/>
          </a:ln>
          <a:effectLst/>
        </c:spPr>
      </c:pivotFmt>
    </c:pivotFmts>
    <c:plotArea>
      <c:layout/>
      <c:pieChart>
        <c:varyColors val="1"/>
        <c:ser>
          <c:idx val="0"/>
          <c:order val="0"/>
          <c:tx>
            <c:strRef>
              <c:f>'Regional percent 2024'!$B$3</c:f>
              <c:strCache>
                <c:ptCount val="1"/>
                <c:pt idx="0">
                  <c:v>Total</c:v>
                </c:pt>
              </c:strCache>
            </c:strRef>
          </c:tx>
          <c:spPr>
            <a:ln>
              <a:noFill/>
            </a:ln>
          </c:spPr>
          <c:dPt>
            <c:idx val="0"/>
            <c:bubble3D val="0"/>
            <c:spPr>
              <a:solidFill>
                <a:schemeClr val="accent1">
                  <a:lumMod val="50000"/>
                </a:schemeClr>
              </a:solidFill>
              <a:ln>
                <a:noFill/>
              </a:ln>
              <a:effectLst/>
            </c:spPr>
            <c:extLst>
              <c:ext xmlns:c16="http://schemas.microsoft.com/office/drawing/2014/chart" uri="{C3380CC4-5D6E-409C-BE32-E72D297353CC}">
                <c16:uniqueId val="{0000000F-4853-43B6-82D6-5E532636282C}"/>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10-4853-43B6-82D6-5E532636282C}"/>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11-4853-43B6-82D6-5E532636282C}"/>
              </c:ext>
            </c:extLst>
          </c:dPt>
          <c:dPt>
            <c:idx val="3"/>
            <c:bubble3D val="0"/>
            <c:spPr>
              <a:solidFill>
                <a:schemeClr val="accent1">
                  <a:lumMod val="40000"/>
                  <a:lumOff val="60000"/>
                </a:schemeClr>
              </a:solidFill>
              <a:ln>
                <a:noFill/>
              </a:ln>
              <a:effectLst/>
            </c:spPr>
            <c:extLst>
              <c:ext xmlns:c16="http://schemas.microsoft.com/office/drawing/2014/chart" uri="{C3380CC4-5D6E-409C-BE32-E72D297353CC}">
                <c16:uniqueId val="{00000012-4853-43B6-82D6-5E532636282C}"/>
              </c:ext>
            </c:extLst>
          </c:dPt>
          <c:dPt>
            <c:idx val="4"/>
            <c:bubble3D val="0"/>
            <c:spPr>
              <a:solidFill>
                <a:schemeClr val="accent1">
                  <a:lumMod val="20000"/>
                  <a:lumOff val="80000"/>
                </a:schemeClr>
              </a:solidFill>
              <a:ln>
                <a:noFill/>
              </a:ln>
              <a:effectLst/>
            </c:spPr>
            <c:extLst>
              <c:ext xmlns:c16="http://schemas.microsoft.com/office/drawing/2014/chart" uri="{C3380CC4-5D6E-409C-BE32-E72D297353CC}">
                <c16:uniqueId val="{00000013-4853-43B6-82D6-5E532636282C}"/>
              </c:ext>
            </c:extLst>
          </c:dPt>
          <c:dPt>
            <c:idx val="5"/>
            <c:bubble3D val="0"/>
            <c:spPr>
              <a:solidFill>
                <a:schemeClr val="accent3">
                  <a:lumMod val="20000"/>
                  <a:lumOff val="80000"/>
                </a:schemeClr>
              </a:solidFill>
              <a:ln>
                <a:noFill/>
              </a:ln>
              <a:effectLst/>
            </c:spPr>
            <c:extLst>
              <c:ext xmlns:c16="http://schemas.microsoft.com/office/drawing/2014/chart" uri="{C3380CC4-5D6E-409C-BE32-E72D297353CC}">
                <c16:uniqueId val="{00000014-4853-43B6-82D6-5E532636282C}"/>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percent 2024'!$A$4:$A$9</c:f>
              <c:strCache>
                <c:ptCount val="6"/>
                <c:pt idx="0">
                  <c:v>Asia</c:v>
                </c:pt>
                <c:pt idx="1">
                  <c:v>Africa</c:v>
                </c:pt>
                <c:pt idx="2">
                  <c:v>Europe</c:v>
                </c:pt>
                <c:pt idx="3">
                  <c:v>North America</c:v>
                </c:pt>
                <c:pt idx="4">
                  <c:v>South America</c:v>
                </c:pt>
                <c:pt idx="5">
                  <c:v>Oceania</c:v>
                </c:pt>
              </c:strCache>
            </c:strRef>
          </c:cat>
          <c:val>
            <c:numRef>
              <c:f>'Regional percent 2024'!$B$4:$B$9</c:f>
              <c:numCache>
                <c:formatCode>0%</c:formatCode>
                <c:ptCount val="6"/>
                <c:pt idx="0">
                  <c:v>0.58778415869278466</c:v>
                </c:pt>
                <c:pt idx="1">
                  <c:v>0.18640050868586311</c:v>
                </c:pt>
                <c:pt idx="2">
                  <c:v>9.1509331047614231E-2</c:v>
                </c:pt>
                <c:pt idx="3">
                  <c:v>7.4939575370915099E-2</c:v>
                </c:pt>
                <c:pt idx="4">
                  <c:v>5.3617246092895865E-2</c:v>
                </c:pt>
                <c:pt idx="5">
                  <c:v>5.7491801099270505E-3</c:v>
                </c:pt>
              </c:numCache>
            </c:numRef>
          </c:val>
          <c:extLst>
            <c:ext xmlns:c16="http://schemas.microsoft.com/office/drawing/2014/chart" uri="{C3380CC4-5D6E-409C-BE32-E72D297353CC}">
              <c16:uniqueId val="{0000000E-4853-43B6-82D6-5E532636282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Bodoni MT" panose="020706030806060202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37.xlsx]Avg annual growth rate!PivotTable1</c:name>
    <c:fmtId val="5"/>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pivotFmt>
      <c:pivotFmt>
        <c:idx val="15"/>
        <c:spPr>
          <a:solidFill>
            <a:schemeClr val="accent1">
              <a:lumMod val="75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40000"/>
              <a:lumOff val="6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75000"/>
            </a:schemeClr>
          </a:solidFill>
          <a:ln>
            <a:noFill/>
          </a:ln>
          <a:effectLst/>
        </c:spPr>
      </c:pivotFmt>
      <c:pivotFmt>
        <c:idx val="27"/>
        <c:spPr>
          <a:solidFill>
            <a:schemeClr val="accent1">
              <a:lumMod val="60000"/>
              <a:lumOff val="40000"/>
            </a:schemeClr>
          </a:solidFill>
          <a:ln>
            <a:noFill/>
          </a:ln>
          <a:effectLst/>
        </c:spPr>
      </c:pivotFmt>
      <c:pivotFmt>
        <c:idx val="28"/>
        <c:spPr>
          <a:solidFill>
            <a:schemeClr val="accent1">
              <a:lumMod val="40000"/>
              <a:lumOff val="6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lumMod val="50000"/>
            </a:schemeClr>
          </a:solidFill>
          <a:ln>
            <a:noFill/>
          </a:ln>
          <a:effectLst/>
        </c:spPr>
      </c:pivotFmt>
      <c:pivotFmt>
        <c:idx val="31"/>
        <c:spPr>
          <a:solidFill>
            <a:schemeClr val="accent1">
              <a:lumMod val="75000"/>
            </a:schemeClr>
          </a:solidFill>
          <a:ln>
            <a:noFill/>
          </a:ln>
          <a:effectLst/>
        </c:spPr>
      </c:pivotFmt>
      <c:pivotFmt>
        <c:idx val="32"/>
        <c:spPr>
          <a:solidFill>
            <a:schemeClr val="accent1">
              <a:lumMod val="60000"/>
              <a:lumOff val="40000"/>
            </a:schemeClr>
          </a:solidFill>
          <a:ln>
            <a:noFill/>
          </a:ln>
          <a:effectLst/>
        </c:spPr>
      </c:pivotFmt>
      <c:pivotFmt>
        <c:idx val="33"/>
        <c:spPr>
          <a:solidFill>
            <a:schemeClr val="accent1">
              <a:lumMod val="40000"/>
              <a:lumOff val="60000"/>
            </a:schemeClr>
          </a:solidFill>
          <a:ln>
            <a:noFill/>
          </a:ln>
          <a:effectLst/>
        </c:spPr>
      </c:pivotFmt>
      <c:pivotFmt>
        <c:idx val="34"/>
        <c:spPr>
          <a:solidFill>
            <a:schemeClr val="accent1">
              <a:lumMod val="20000"/>
              <a:lumOff val="80000"/>
            </a:schemeClr>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a:noFill/>
          </a:ln>
          <a:effectLst/>
        </c:spPr>
      </c:pivotFmt>
      <c:pivotFmt>
        <c:idx val="37"/>
        <c:spPr>
          <a:solidFill>
            <a:schemeClr val="accent1">
              <a:lumMod val="75000"/>
            </a:schemeClr>
          </a:solidFill>
          <a:ln>
            <a:noFill/>
          </a:ln>
          <a:effectLst/>
        </c:spPr>
      </c:pivotFmt>
      <c:pivotFmt>
        <c:idx val="38"/>
        <c:spPr>
          <a:solidFill>
            <a:schemeClr val="accent1">
              <a:lumMod val="60000"/>
              <a:lumOff val="40000"/>
            </a:schemeClr>
          </a:solidFill>
          <a:ln>
            <a:noFill/>
          </a:ln>
          <a:effectLst/>
        </c:spPr>
      </c:pivotFmt>
      <c:pivotFmt>
        <c:idx val="39"/>
        <c:spPr>
          <a:solidFill>
            <a:schemeClr val="accent1">
              <a:lumMod val="40000"/>
              <a:lumOff val="60000"/>
            </a:schemeClr>
          </a:solidFill>
          <a:ln>
            <a:noFill/>
          </a:ln>
          <a:effectLst/>
        </c:spPr>
      </c:pivotFmt>
      <c:pivotFmt>
        <c:idx val="40"/>
        <c:spPr>
          <a:solidFill>
            <a:schemeClr val="accent1">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60000"/>
              <a:lumOff val="40000"/>
            </a:schemeClr>
          </a:solidFill>
          <a:ln>
            <a:noFill/>
          </a:ln>
          <a:effectLst/>
        </c:spPr>
      </c:pivotFmt>
      <c:pivotFmt>
        <c:idx val="46"/>
        <c:spPr>
          <a:solidFill>
            <a:schemeClr val="accent1">
              <a:lumMod val="40000"/>
              <a:lumOff val="60000"/>
            </a:schemeClr>
          </a:solidFill>
          <a:ln>
            <a:noFill/>
          </a:ln>
          <a:effectLst/>
        </c:spPr>
      </c:pivotFmt>
      <c:pivotFmt>
        <c:idx val="47"/>
        <c:spPr>
          <a:solidFill>
            <a:schemeClr val="accent1">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lumMod val="50000"/>
            </a:schemeClr>
          </a:solidFill>
          <a:ln>
            <a:noFill/>
          </a:ln>
          <a:effectLst/>
        </c:spPr>
      </c:pivotFmt>
      <c:pivotFmt>
        <c:idx val="50"/>
        <c:spPr>
          <a:solidFill>
            <a:schemeClr val="accent1">
              <a:lumMod val="75000"/>
            </a:schemeClr>
          </a:solidFill>
          <a:ln>
            <a:noFill/>
          </a:ln>
          <a:effectLst/>
        </c:spPr>
      </c:pivotFmt>
      <c:pivotFmt>
        <c:idx val="51"/>
        <c:spPr>
          <a:solidFill>
            <a:schemeClr val="accent1">
              <a:lumMod val="60000"/>
              <a:lumOff val="40000"/>
            </a:schemeClr>
          </a:solidFill>
          <a:ln>
            <a:noFill/>
          </a:ln>
          <a:effectLst/>
        </c:spPr>
      </c:pivotFmt>
      <c:pivotFmt>
        <c:idx val="52"/>
        <c:spPr>
          <a:solidFill>
            <a:schemeClr val="accent1">
              <a:lumMod val="60000"/>
              <a:lumOff val="40000"/>
            </a:schemeClr>
          </a:solidFill>
          <a:ln>
            <a:noFill/>
          </a:ln>
          <a:effectLst/>
        </c:spPr>
      </c:pivotFmt>
      <c:pivotFmt>
        <c:idx val="53"/>
        <c:spPr>
          <a:solidFill>
            <a:schemeClr val="accent1">
              <a:lumMod val="40000"/>
              <a:lumOff val="60000"/>
            </a:schemeClr>
          </a:solidFill>
          <a:ln>
            <a:noFill/>
          </a:ln>
          <a:effectLst/>
        </c:spPr>
      </c:pivotFmt>
      <c:pivotFmt>
        <c:idx val="54"/>
        <c:spPr>
          <a:solidFill>
            <a:schemeClr val="accent1">
              <a:lumMod val="20000"/>
              <a:lumOff val="80000"/>
            </a:schemeClr>
          </a:solidFill>
          <a:ln>
            <a:noFill/>
          </a:ln>
          <a:effectLst/>
        </c:spPr>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lumMod val="50000"/>
            </a:schemeClr>
          </a:solidFill>
          <a:ln>
            <a:noFill/>
          </a:ln>
          <a:effectLst/>
        </c:spPr>
      </c:pivotFmt>
      <c:pivotFmt>
        <c:idx val="57"/>
        <c:spPr>
          <a:solidFill>
            <a:schemeClr val="accent1">
              <a:lumMod val="75000"/>
            </a:schemeClr>
          </a:solidFill>
          <a:ln>
            <a:noFill/>
          </a:ln>
          <a:effectLst/>
        </c:spPr>
      </c:pivotFmt>
      <c:pivotFmt>
        <c:idx val="58"/>
        <c:spPr>
          <a:solidFill>
            <a:schemeClr val="accent1">
              <a:lumMod val="60000"/>
              <a:lumOff val="40000"/>
            </a:schemeClr>
          </a:solidFill>
          <a:ln>
            <a:noFill/>
          </a:ln>
          <a:effectLst/>
        </c:spPr>
      </c:pivotFmt>
      <c:pivotFmt>
        <c:idx val="59"/>
        <c:spPr>
          <a:solidFill>
            <a:schemeClr val="accent1">
              <a:lumMod val="40000"/>
              <a:lumOff val="60000"/>
            </a:schemeClr>
          </a:solidFill>
          <a:ln>
            <a:noFill/>
          </a:ln>
          <a:effectLst/>
        </c:spPr>
      </c:pivotFmt>
      <c:pivotFmt>
        <c:idx val="60"/>
        <c:spPr>
          <a:solidFill>
            <a:schemeClr val="accent1">
              <a:lumMod val="20000"/>
              <a:lumOff val="80000"/>
            </a:schemeClr>
          </a:solidFill>
          <a:ln>
            <a:noFill/>
          </a:ln>
          <a:effectLst/>
        </c:spPr>
      </c:pivotFmt>
      <c:pivotFmt>
        <c:idx val="61"/>
        <c:spPr>
          <a:solidFill>
            <a:schemeClr val="accent3">
              <a:lumMod val="20000"/>
              <a:lumOff val="80000"/>
            </a:schemeClr>
          </a:solidFill>
          <a:ln>
            <a:noFill/>
          </a:ln>
          <a:effectLst/>
        </c:spPr>
      </c:pivotFmt>
    </c:pivotFmts>
    <c:plotArea>
      <c:layout>
        <c:manualLayout>
          <c:layoutTarget val="inner"/>
          <c:xMode val="edge"/>
          <c:yMode val="edge"/>
          <c:x val="1.3578418980896321E-2"/>
          <c:y val="3.5087651609311661E-2"/>
          <c:w val="0.97606908813817617"/>
          <c:h val="0.80492388451443575"/>
        </c:manualLayout>
      </c:layout>
      <c:barChart>
        <c:barDir val="col"/>
        <c:grouping val="clustered"/>
        <c:varyColors val="0"/>
        <c:ser>
          <c:idx val="0"/>
          <c:order val="0"/>
          <c:tx>
            <c:strRef>
              <c:f>'Avg annual growth rate'!$B$3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CAA5-4557-A323-2BC10495A206}"/>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CAA5-4557-A323-2BC10495A206}"/>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CAA5-4557-A323-2BC10495A206}"/>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CAA5-4557-A323-2BC10495A206}"/>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CAA5-4557-A323-2BC10495A206}"/>
              </c:ext>
            </c:extLst>
          </c:dPt>
          <c:dPt>
            <c:idx val="5"/>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B-CAA5-4557-A323-2BC10495A206}"/>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annual growth rate'!$A$4:$A$9</c:f>
              <c:strCache>
                <c:ptCount val="6"/>
                <c:pt idx="0">
                  <c:v>Africa</c:v>
                </c:pt>
                <c:pt idx="1">
                  <c:v>Asia</c:v>
                </c:pt>
                <c:pt idx="2">
                  <c:v>South America</c:v>
                </c:pt>
                <c:pt idx="3">
                  <c:v>North America</c:v>
                </c:pt>
                <c:pt idx="4">
                  <c:v>Oceania</c:v>
                </c:pt>
                <c:pt idx="5">
                  <c:v>Europe</c:v>
                </c:pt>
              </c:strCache>
            </c:strRef>
          </c:cat>
          <c:val>
            <c:numRef>
              <c:f>'Avg annual growth rate'!$B$4:$B$9</c:f>
              <c:numCache>
                <c:formatCode>0.00</c:formatCode>
                <c:ptCount val="6"/>
                <c:pt idx="0">
                  <c:v>2.3957924392809242</c:v>
                </c:pt>
                <c:pt idx="1">
                  <c:v>1.8647661616085429</c:v>
                </c:pt>
                <c:pt idx="2">
                  <c:v>1.1407846558064578</c:v>
                </c:pt>
                <c:pt idx="3">
                  <c:v>1.0663067305409659</c:v>
                </c:pt>
                <c:pt idx="4">
                  <c:v>0.96051296511979456</c:v>
                </c:pt>
                <c:pt idx="5">
                  <c:v>0.20827593219386342</c:v>
                </c:pt>
              </c:numCache>
            </c:numRef>
          </c:val>
          <c:extLst>
            <c:ext xmlns:c16="http://schemas.microsoft.com/office/drawing/2014/chart" uri="{C3380CC4-5D6E-409C-BE32-E72D297353CC}">
              <c16:uniqueId val="{0000000C-CAA5-4557-A323-2BC10495A206}"/>
            </c:ext>
          </c:extLst>
        </c:ser>
        <c:dLbls>
          <c:dLblPos val="outEnd"/>
          <c:showLegendKey val="0"/>
          <c:showVal val="1"/>
          <c:showCatName val="0"/>
          <c:showSerName val="0"/>
          <c:showPercent val="0"/>
          <c:showBubbleSize val="0"/>
        </c:dLbls>
        <c:gapWidth val="25"/>
        <c:overlap val="-27"/>
        <c:axId val="1047472511"/>
        <c:axId val="1047472927"/>
      </c:barChart>
      <c:catAx>
        <c:axId val="104747251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t" anchorCtr="1"/>
          <a:lstStyle/>
          <a:p>
            <a:pPr>
              <a:defRPr sz="1100" b="0" i="0" u="none" strike="noStrike" kern="1200" baseline="0">
                <a:solidFill>
                  <a:schemeClr val="accent1">
                    <a:lumMod val="50000"/>
                  </a:schemeClr>
                </a:solidFill>
                <a:latin typeface="Bodoni MT" panose="02070603080606020203" pitchFamily="18" charset="0"/>
                <a:ea typeface="+mn-ea"/>
                <a:cs typeface="+mn-cs"/>
              </a:defRPr>
            </a:pPr>
            <a:endParaRPr lang="en-NG"/>
          </a:p>
        </c:txPr>
        <c:crossAx val="1047472927"/>
        <c:crosses val="autoZero"/>
        <c:auto val="1"/>
        <c:lblAlgn val="ctr"/>
        <c:lblOffset val="100"/>
        <c:noMultiLvlLbl val="0"/>
      </c:catAx>
      <c:valAx>
        <c:axId val="1047472927"/>
        <c:scaling>
          <c:orientation val="minMax"/>
        </c:scaling>
        <c:delete val="1"/>
        <c:axPos val="l"/>
        <c:majorGridlines>
          <c:spPr>
            <a:ln w="9525" cap="flat" cmpd="sng" algn="ctr">
              <a:solidFill>
                <a:schemeClr val="bg1">
                  <a:lumMod val="95000"/>
                </a:schemeClr>
              </a:solidFill>
              <a:round/>
            </a:ln>
            <a:effectLst/>
          </c:spPr>
        </c:majorGridlines>
        <c:numFmt formatCode="0.00" sourceLinked="1"/>
        <c:majorTickMark val="none"/>
        <c:minorTickMark val="none"/>
        <c:tickLblPos val="nextTo"/>
        <c:crossAx val="104747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37.xlsx]Region with highest pop!PivotTable1</c:name>
    <c:fmtId val="2"/>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40000"/>
              <a:lumOff val="60000"/>
            </a:schemeClr>
          </a:solidFill>
          <a:ln>
            <a:noFill/>
          </a:ln>
          <a:effectLst/>
        </c:spPr>
      </c:pivotFmt>
      <c:pivotFmt>
        <c:idx val="18"/>
        <c:spPr>
          <a:solidFill>
            <a:schemeClr val="accent1">
              <a:lumMod val="20000"/>
              <a:lumOff val="80000"/>
            </a:schemeClr>
          </a:solidFill>
          <a:ln>
            <a:noFill/>
          </a:ln>
          <a:effectLst/>
        </c:spPr>
      </c:pivotFmt>
    </c:pivotFmts>
    <c:plotArea>
      <c:layout>
        <c:manualLayout>
          <c:layoutTarget val="inner"/>
          <c:xMode val="edge"/>
          <c:yMode val="edge"/>
          <c:x val="8.8328102037736264E-3"/>
          <c:y val="2.5570787288298546E-2"/>
          <c:w val="0.97207580787651748"/>
          <c:h val="0.80762389995368222"/>
        </c:manualLayout>
      </c:layout>
      <c:barChart>
        <c:barDir val="col"/>
        <c:grouping val="clustered"/>
        <c:varyColors val="0"/>
        <c:ser>
          <c:idx val="0"/>
          <c:order val="0"/>
          <c:tx>
            <c:strRef>
              <c:f>'Region with highest pop'!$B$3</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C64B-4A0A-B461-70B2765F9FE9}"/>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C64B-4A0A-B461-70B2765F9FE9}"/>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C64B-4A0A-B461-70B2765F9FE9}"/>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C64B-4A0A-B461-70B2765F9FE9}"/>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C64B-4A0A-B461-70B2765F9FE9}"/>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with highest pop'!$A$4:$A$9</c:f>
              <c:strCache>
                <c:ptCount val="6"/>
                <c:pt idx="0">
                  <c:v>Asia</c:v>
                </c:pt>
                <c:pt idx="1">
                  <c:v>Africa</c:v>
                </c:pt>
                <c:pt idx="2">
                  <c:v>Europe</c:v>
                </c:pt>
                <c:pt idx="3">
                  <c:v>North America</c:v>
                </c:pt>
                <c:pt idx="4">
                  <c:v>South America</c:v>
                </c:pt>
                <c:pt idx="5">
                  <c:v>Oceania</c:v>
                </c:pt>
              </c:strCache>
            </c:strRef>
          </c:cat>
          <c:val>
            <c:numRef>
              <c:f>'Region with highest pop'!$B$4:$B$9</c:f>
              <c:numCache>
                <c:formatCode>General</c:formatCode>
                <c:ptCount val="6"/>
                <c:pt idx="0">
                  <c:v>4772010067</c:v>
                </c:pt>
                <c:pt idx="1">
                  <c:v>1513319287</c:v>
                </c:pt>
                <c:pt idx="2">
                  <c:v>742931640</c:v>
                </c:pt>
                <c:pt idx="3">
                  <c:v>608407700</c:v>
                </c:pt>
                <c:pt idx="4">
                  <c:v>435299309</c:v>
                </c:pt>
                <c:pt idx="5">
                  <c:v>46675544</c:v>
                </c:pt>
              </c:numCache>
            </c:numRef>
          </c:val>
          <c:extLst>
            <c:ext xmlns:c16="http://schemas.microsoft.com/office/drawing/2014/chart" uri="{C3380CC4-5D6E-409C-BE32-E72D297353CC}">
              <c16:uniqueId val="{0000000A-C64B-4A0A-B461-70B2765F9FE9}"/>
            </c:ext>
          </c:extLst>
        </c:ser>
        <c:dLbls>
          <c:dLblPos val="outEnd"/>
          <c:showLegendKey val="0"/>
          <c:showVal val="1"/>
          <c:showCatName val="0"/>
          <c:showSerName val="0"/>
          <c:showPercent val="0"/>
          <c:showBubbleSize val="0"/>
        </c:dLbls>
        <c:gapWidth val="25"/>
        <c:overlap val="-27"/>
        <c:axId val="1047472511"/>
        <c:axId val="1047472927"/>
      </c:barChart>
      <c:catAx>
        <c:axId val="104747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Bodoni MT" panose="02070603080606020203" pitchFamily="18" charset="0"/>
                <a:ea typeface="+mn-ea"/>
                <a:cs typeface="+mn-cs"/>
              </a:defRPr>
            </a:pPr>
            <a:endParaRPr lang="en-NG"/>
          </a:p>
        </c:txPr>
        <c:crossAx val="1047472927"/>
        <c:crosses val="autoZero"/>
        <c:auto val="1"/>
        <c:lblAlgn val="ctr"/>
        <c:lblOffset val="100"/>
        <c:noMultiLvlLbl val="0"/>
      </c:catAx>
      <c:valAx>
        <c:axId val="1047472927"/>
        <c:scaling>
          <c:orientation val="minMax"/>
        </c:scaling>
        <c:delete val="1"/>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104747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37.xlsx]Fast growing pop!PivotTable1</c:name>
    <c:fmtId val="3"/>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pivotFmt>
      <c:pivotFmt>
        <c:idx val="15"/>
        <c:spPr>
          <a:solidFill>
            <a:schemeClr val="accent1">
              <a:lumMod val="75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40000"/>
              <a:lumOff val="6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40000"/>
              <a:lumOff val="60000"/>
            </a:schemeClr>
          </a:solidFill>
          <a:ln>
            <a:noFill/>
          </a:ln>
          <a:effectLst/>
        </c:spPr>
      </c:pivotFmt>
      <c:pivotFmt>
        <c:idx val="30"/>
        <c:spPr>
          <a:solidFill>
            <a:schemeClr val="accent1">
              <a:lumMod val="20000"/>
              <a:lumOff val="80000"/>
            </a:schemeClr>
          </a:solidFill>
          <a:ln>
            <a:noFill/>
          </a:ln>
          <a:effectLst/>
        </c:spPr>
      </c:pivotFmt>
    </c:pivotFmts>
    <c:plotArea>
      <c:layout>
        <c:manualLayout>
          <c:layoutTarget val="inner"/>
          <c:xMode val="edge"/>
          <c:yMode val="edge"/>
          <c:x val="1.7504377472665606E-2"/>
          <c:y val="7.4587113343634576E-2"/>
          <c:w val="0.9523770945962563"/>
          <c:h val="0.60386934520264901"/>
        </c:manualLayout>
      </c:layout>
      <c:barChart>
        <c:barDir val="col"/>
        <c:grouping val="clustered"/>
        <c:varyColors val="0"/>
        <c:ser>
          <c:idx val="0"/>
          <c:order val="0"/>
          <c:tx>
            <c:strRef>
              <c:f>'Fast growing pop'!$B$3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D1A6-40E3-B008-04571A9D6DC9}"/>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D1A6-40E3-B008-04571A9D6DC9}"/>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D1A6-40E3-B008-04571A9D6DC9}"/>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D1A6-40E3-B008-04571A9D6DC9}"/>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D1A6-40E3-B008-04571A9D6DC9}"/>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'Fast growing pop'!$A$4:$A$8</c:f>
              <c:strCache>
                <c:ptCount val="5"/>
                <c:pt idx="0">
                  <c:v>Qatar</c:v>
                </c:pt>
                <c:pt idx="1">
                  <c:v>United Arab Emirates</c:v>
                </c:pt>
                <c:pt idx="2">
                  <c:v>Equatorial Guinea</c:v>
                </c:pt>
                <c:pt idx="3">
                  <c:v>Turks and Caicos Islands</c:v>
                </c:pt>
                <c:pt idx="4">
                  <c:v>Afghanistan</c:v>
                </c:pt>
              </c:strCache>
            </c:strRef>
          </c:cat>
          <c:val>
            <c:numRef>
              <c:f>'Fast growing pop'!$B$4:$B$8</c:f>
              <c:numCache>
                <c:formatCode>0.00</c:formatCode>
                <c:ptCount val="5"/>
                <c:pt idx="0">
                  <c:v>549.24677685011648</c:v>
                </c:pt>
                <c:pt idx="1">
                  <c:v>473.00950364025243</c:v>
                </c:pt>
                <c:pt idx="2">
                  <c:v>299.0343134981045</c:v>
                </c:pt>
                <c:pt idx="3">
                  <c:v>298.14339493497607</c:v>
                </c:pt>
                <c:pt idx="4">
                  <c:v>254.04861169915139</c:v>
                </c:pt>
              </c:numCache>
            </c:numRef>
          </c:val>
          <c:extLst>
            <c:ext xmlns:c16="http://schemas.microsoft.com/office/drawing/2014/chart" uri="{C3380CC4-5D6E-409C-BE32-E72D297353CC}">
              <c16:uniqueId val="{0000000A-D1A6-40E3-B008-04571A9D6DC9}"/>
            </c:ext>
          </c:extLst>
        </c:ser>
        <c:dLbls>
          <c:dLblPos val="outEnd"/>
          <c:showLegendKey val="0"/>
          <c:showVal val="1"/>
          <c:showCatName val="0"/>
          <c:showSerName val="0"/>
          <c:showPercent val="0"/>
          <c:showBubbleSize val="0"/>
        </c:dLbls>
        <c:gapWidth val="25"/>
        <c:overlap val="-27"/>
        <c:axId val="1047472511"/>
        <c:axId val="1047472927"/>
      </c:barChart>
      <c:catAx>
        <c:axId val="104747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1">
                    <a:lumMod val="50000"/>
                  </a:schemeClr>
                </a:solidFill>
                <a:latin typeface="Bodoni MT" panose="02070603080606020203" pitchFamily="18" charset="0"/>
                <a:ea typeface="+mn-ea"/>
                <a:cs typeface="+mn-cs"/>
              </a:defRPr>
            </a:pPr>
            <a:endParaRPr lang="en-NG"/>
          </a:p>
        </c:txPr>
        <c:crossAx val="1047472927"/>
        <c:crosses val="autoZero"/>
        <c:auto val="1"/>
        <c:lblAlgn val="ctr"/>
        <c:lblOffset val="100"/>
        <c:noMultiLvlLbl val="0"/>
      </c:catAx>
      <c:valAx>
        <c:axId val="1047472927"/>
        <c:scaling>
          <c:orientation val="minMax"/>
        </c:scaling>
        <c:delete val="1"/>
        <c:axPos val="l"/>
        <c:majorGridlines>
          <c:spPr>
            <a:ln w="9525" cap="flat" cmpd="sng" algn="ctr">
              <a:solidFill>
                <a:schemeClr val="bg1">
                  <a:lumMod val="95000"/>
                </a:schemeClr>
              </a:solidFill>
              <a:round/>
            </a:ln>
            <a:effectLst/>
          </c:spPr>
        </c:majorGridlines>
        <c:numFmt formatCode="0.00" sourceLinked="1"/>
        <c:majorTickMark val="none"/>
        <c:minorTickMark val="none"/>
        <c:tickLblPos val="nextTo"/>
        <c:crossAx val="104747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37.xlsx]Regional percent 2024!PivotTable1</c:name>
    <c:fmtId val="6"/>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pivotFmt>
      <c:pivotFmt>
        <c:idx val="15"/>
        <c:spPr>
          <a:solidFill>
            <a:schemeClr val="accent1">
              <a:lumMod val="75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40000"/>
              <a:lumOff val="6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75000"/>
            </a:schemeClr>
          </a:solidFill>
          <a:ln>
            <a:noFill/>
          </a:ln>
          <a:effectLst/>
        </c:spPr>
      </c:pivotFmt>
      <c:pivotFmt>
        <c:idx val="27"/>
        <c:spPr>
          <a:solidFill>
            <a:schemeClr val="accent1">
              <a:lumMod val="60000"/>
              <a:lumOff val="40000"/>
            </a:schemeClr>
          </a:solidFill>
          <a:ln>
            <a:noFill/>
          </a:ln>
          <a:effectLst/>
        </c:spPr>
      </c:pivotFmt>
      <c:pivotFmt>
        <c:idx val="28"/>
        <c:spPr>
          <a:solidFill>
            <a:schemeClr val="accent1">
              <a:lumMod val="40000"/>
              <a:lumOff val="6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lumMod val="50000"/>
            </a:schemeClr>
          </a:solidFill>
          <a:ln>
            <a:noFill/>
          </a:ln>
          <a:effectLst/>
        </c:spPr>
      </c:pivotFmt>
      <c:pivotFmt>
        <c:idx val="31"/>
        <c:spPr>
          <a:solidFill>
            <a:schemeClr val="accent1">
              <a:lumMod val="75000"/>
            </a:schemeClr>
          </a:solidFill>
          <a:ln>
            <a:noFill/>
          </a:ln>
          <a:effectLst/>
        </c:spPr>
      </c:pivotFmt>
      <c:pivotFmt>
        <c:idx val="32"/>
        <c:spPr>
          <a:solidFill>
            <a:schemeClr val="accent1">
              <a:lumMod val="60000"/>
              <a:lumOff val="40000"/>
            </a:schemeClr>
          </a:solidFill>
          <a:ln>
            <a:noFill/>
          </a:ln>
          <a:effectLst/>
        </c:spPr>
      </c:pivotFmt>
      <c:pivotFmt>
        <c:idx val="33"/>
        <c:spPr>
          <a:solidFill>
            <a:schemeClr val="accent1">
              <a:lumMod val="40000"/>
              <a:lumOff val="60000"/>
            </a:schemeClr>
          </a:solidFill>
          <a:ln>
            <a:noFill/>
          </a:ln>
          <a:effectLst/>
        </c:spPr>
      </c:pivotFmt>
      <c:pivotFmt>
        <c:idx val="34"/>
        <c:spPr>
          <a:solidFill>
            <a:schemeClr val="accent1">
              <a:lumMod val="20000"/>
              <a:lumOff val="80000"/>
            </a:schemeClr>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a:noFill/>
          </a:ln>
          <a:effectLst/>
        </c:spPr>
      </c:pivotFmt>
      <c:pivotFmt>
        <c:idx val="37"/>
        <c:spPr>
          <a:solidFill>
            <a:schemeClr val="accent1">
              <a:lumMod val="75000"/>
            </a:schemeClr>
          </a:solidFill>
          <a:ln>
            <a:noFill/>
          </a:ln>
          <a:effectLst/>
        </c:spPr>
      </c:pivotFmt>
      <c:pivotFmt>
        <c:idx val="38"/>
        <c:spPr>
          <a:solidFill>
            <a:schemeClr val="accent1">
              <a:lumMod val="60000"/>
              <a:lumOff val="40000"/>
            </a:schemeClr>
          </a:solidFill>
          <a:ln>
            <a:noFill/>
          </a:ln>
          <a:effectLst/>
        </c:spPr>
      </c:pivotFmt>
      <c:pivotFmt>
        <c:idx val="39"/>
        <c:spPr>
          <a:solidFill>
            <a:schemeClr val="accent1">
              <a:lumMod val="40000"/>
              <a:lumOff val="60000"/>
            </a:schemeClr>
          </a:solidFill>
          <a:ln>
            <a:noFill/>
          </a:ln>
          <a:effectLst/>
        </c:spPr>
      </c:pivotFmt>
      <c:pivotFmt>
        <c:idx val="40"/>
        <c:spPr>
          <a:solidFill>
            <a:schemeClr val="accent1">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60000"/>
              <a:lumOff val="40000"/>
            </a:schemeClr>
          </a:solidFill>
          <a:ln>
            <a:noFill/>
          </a:ln>
          <a:effectLst/>
        </c:spPr>
      </c:pivotFmt>
      <c:pivotFmt>
        <c:idx val="46"/>
        <c:spPr>
          <a:solidFill>
            <a:schemeClr val="accent1">
              <a:lumMod val="40000"/>
              <a:lumOff val="60000"/>
            </a:schemeClr>
          </a:solidFill>
          <a:ln>
            <a:noFill/>
          </a:ln>
          <a:effectLst/>
        </c:spPr>
      </c:pivotFmt>
      <c:pivotFmt>
        <c:idx val="47"/>
        <c:spPr>
          <a:solidFill>
            <a:schemeClr val="accent1">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lumMod val="50000"/>
            </a:schemeClr>
          </a:solidFill>
          <a:ln>
            <a:noFill/>
          </a:ln>
          <a:effectLst/>
        </c:spPr>
      </c:pivotFmt>
      <c:pivotFmt>
        <c:idx val="50"/>
        <c:spPr>
          <a:solidFill>
            <a:schemeClr val="accent1">
              <a:lumMod val="75000"/>
            </a:schemeClr>
          </a:solidFill>
          <a:ln>
            <a:noFill/>
          </a:ln>
          <a:effectLst/>
        </c:spPr>
      </c:pivotFmt>
      <c:pivotFmt>
        <c:idx val="51"/>
        <c:spPr>
          <a:solidFill>
            <a:schemeClr val="accent1">
              <a:lumMod val="60000"/>
              <a:lumOff val="40000"/>
            </a:schemeClr>
          </a:solidFill>
          <a:ln>
            <a:noFill/>
          </a:ln>
          <a:effectLst/>
        </c:spPr>
      </c:pivotFmt>
      <c:pivotFmt>
        <c:idx val="52"/>
        <c:spPr>
          <a:solidFill>
            <a:schemeClr val="accent1">
              <a:lumMod val="60000"/>
              <a:lumOff val="40000"/>
            </a:schemeClr>
          </a:solidFill>
          <a:ln>
            <a:noFill/>
          </a:ln>
          <a:effectLst/>
        </c:spPr>
      </c:pivotFmt>
      <c:pivotFmt>
        <c:idx val="53"/>
        <c:spPr>
          <a:solidFill>
            <a:schemeClr val="accent1">
              <a:lumMod val="40000"/>
              <a:lumOff val="60000"/>
            </a:schemeClr>
          </a:solidFill>
          <a:ln>
            <a:noFill/>
          </a:ln>
          <a:effectLst/>
        </c:spPr>
      </c:pivotFmt>
      <c:pivotFmt>
        <c:idx val="54"/>
        <c:spPr>
          <a:solidFill>
            <a:schemeClr val="accent1">
              <a:lumMod val="20000"/>
              <a:lumOff val="80000"/>
            </a:schemeClr>
          </a:solidFill>
          <a:ln>
            <a:noFill/>
          </a:ln>
          <a:effectLst/>
        </c:spPr>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lumMod val="50000"/>
            </a:schemeClr>
          </a:solidFill>
          <a:ln>
            <a:noFill/>
          </a:ln>
          <a:effectLst/>
        </c:spPr>
      </c:pivotFmt>
      <c:pivotFmt>
        <c:idx val="57"/>
        <c:spPr>
          <a:solidFill>
            <a:schemeClr val="accent1">
              <a:lumMod val="75000"/>
            </a:schemeClr>
          </a:solidFill>
          <a:ln>
            <a:noFill/>
          </a:ln>
          <a:effectLst/>
        </c:spPr>
      </c:pivotFmt>
      <c:pivotFmt>
        <c:idx val="58"/>
        <c:spPr>
          <a:solidFill>
            <a:schemeClr val="accent1">
              <a:lumMod val="60000"/>
              <a:lumOff val="40000"/>
            </a:schemeClr>
          </a:solidFill>
          <a:ln>
            <a:noFill/>
          </a:ln>
          <a:effectLst/>
        </c:spPr>
      </c:pivotFmt>
      <c:pivotFmt>
        <c:idx val="59"/>
        <c:spPr>
          <a:solidFill>
            <a:schemeClr val="accent1">
              <a:lumMod val="40000"/>
              <a:lumOff val="60000"/>
            </a:schemeClr>
          </a:solidFill>
          <a:ln>
            <a:noFill/>
          </a:ln>
          <a:effectLst/>
        </c:spPr>
      </c:pivotFmt>
      <c:pivotFmt>
        <c:idx val="60"/>
        <c:spPr>
          <a:solidFill>
            <a:schemeClr val="accent1">
              <a:lumMod val="20000"/>
              <a:lumOff val="80000"/>
            </a:schemeClr>
          </a:solidFill>
          <a:ln>
            <a:noFill/>
          </a:ln>
          <a:effectLst/>
        </c:spPr>
      </c:pivotFmt>
      <c:pivotFmt>
        <c:idx val="61"/>
        <c:spPr>
          <a:solidFill>
            <a:schemeClr val="accent3">
              <a:lumMod val="20000"/>
              <a:lumOff val="80000"/>
            </a:schemeClr>
          </a:solidFill>
          <a:ln>
            <a:noFill/>
          </a:ln>
          <a:effectLst/>
        </c:spPr>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lumMod val="50000"/>
            </a:schemeClr>
          </a:solidFill>
          <a:ln>
            <a:noFill/>
          </a:ln>
          <a:effectLst/>
        </c:spPr>
      </c:pivotFmt>
      <c:pivotFmt>
        <c:idx val="64"/>
        <c:spPr>
          <a:solidFill>
            <a:schemeClr val="accent1">
              <a:lumMod val="75000"/>
            </a:schemeClr>
          </a:solidFill>
          <a:ln>
            <a:noFill/>
          </a:ln>
          <a:effectLst/>
        </c:spPr>
      </c:pivotFmt>
      <c:pivotFmt>
        <c:idx val="65"/>
        <c:spPr>
          <a:solidFill>
            <a:schemeClr val="accent1">
              <a:lumMod val="60000"/>
              <a:lumOff val="40000"/>
            </a:schemeClr>
          </a:solidFill>
          <a:ln>
            <a:noFill/>
          </a:ln>
          <a:effectLst/>
        </c:spPr>
      </c:pivotFmt>
      <c:pivotFmt>
        <c:idx val="66"/>
        <c:spPr>
          <a:solidFill>
            <a:schemeClr val="accent1">
              <a:lumMod val="40000"/>
              <a:lumOff val="60000"/>
            </a:schemeClr>
          </a:solidFill>
          <a:ln>
            <a:noFill/>
          </a:ln>
          <a:effectLst/>
        </c:spPr>
      </c:pivotFmt>
      <c:pivotFmt>
        <c:idx val="67"/>
        <c:spPr>
          <a:solidFill>
            <a:schemeClr val="accent1">
              <a:lumMod val="20000"/>
              <a:lumOff val="80000"/>
            </a:schemeClr>
          </a:solidFill>
          <a:ln>
            <a:noFill/>
          </a:ln>
          <a:effectLst/>
        </c:spPr>
      </c:pivotFmt>
      <c:pivotFmt>
        <c:idx val="68"/>
        <c:spPr>
          <a:solidFill>
            <a:schemeClr val="accent3">
              <a:lumMod val="20000"/>
              <a:lumOff val="80000"/>
            </a:schemeClr>
          </a:solidFill>
          <a:ln>
            <a:noFill/>
          </a:ln>
          <a:effectLst/>
        </c:spPr>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lumMod val="50000"/>
            </a:schemeClr>
          </a:solidFill>
          <a:ln>
            <a:noFill/>
          </a:ln>
          <a:effectLst/>
        </c:spPr>
      </c:pivotFmt>
      <c:pivotFmt>
        <c:idx val="71"/>
        <c:spPr>
          <a:solidFill>
            <a:schemeClr val="accent1">
              <a:lumMod val="75000"/>
            </a:schemeClr>
          </a:solidFill>
          <a:ln>
            <a:noFill/>
          </a:ln>
          <a:effectLst/>
        </c:spPr>
      </c:pivotFmt>
      <c:pivotFmt>
        <c:idx val="72"/>
        <c:spPr>
          <a:solidFill>
            <a:schemeClr val="accent1">
              <a:lumMod val="60000"/>
              <a:lumOff val="40000"/>
            </a:schemeClr>
          </a:solidFill>
          <a:ln>
            <a:noFill/>
          </a:ln>
          <a:effectLst/>
        </c:spPr>
      </c:pivotFmt>
      <c:pivotFmt>
        <c:idx val="73"/>
        <c:spPr>
          <a:solidFill>
            <a:schemeClr val="accent1">
              <a:lumMod val="40000"/>
              <a:lumOff val="60000"/>
            </a:schemeClr>
          </a:solidFill>
          <a:ln>
            <a:noFill/>
          </a:ln>
          <a:effectLst/>
        </c:spPr>
      </c:pivotFmt>
      <c:pivotFmt>
        <c:idx val="74"/>
        <c:spPr>
          <a:solidFill>
            <a:schemeClr val="accent1">
              <a:lumMod val="20000"/>
              <a:lumOff val="80000"/>
            </a:schemeClr>
          </a:solidFill>
          <a:ln>
            <a:noFill/>
          </a:ln>
          <a:effectLst/>
        </c:spPr>
      </c:pivotFmt>
      <c:pivotFmt>
        <c:idx val="75"/>
        <c:spPr>
          <a:solidFill>
            <a:schemeClr val="accent3">
              <a:lumMod val="20000"/>
              <a:lumOff val="80000"/>
            </a:schemeClr>
          </a:solidFill>
          <a:ln>
            <a:noFill/>
          </a:ln>
          <a:effectLst/>
        </c:spPr>
      </c:pivotFmt>
    </c:pivotFmts>
    <c:plotArea>
      <c:layout>
        <c:manualLayout>
          <c:layoutTarget val="inner"/>
          <c:xMode val="edge"/>
          <c:yMode val="edge"/>
          <c:x val="0.12451134514389024"/>
          <c:y val="0.10420641308798012"/>
          <c:w val="0.44274387304033314"/>
          <c:h val="0.83288502079482563"/>
        </c:manualLayout>
      </c:layout>
      <c:pieChart>
        <c:varyColors val="1"/>
        <c:ser>
          <c:idx val="0"/>
          <c:order val="0"/>
          <c:tx>
            <c:strRef>
              <c:f>'Regional percent 2024'!$B$3</c:f>
              <c:strCache>
                <c:ptCount val="1"/>
                <c:pt idx="0">
                  <c:v>Total</c:v>
                </c:pt>
              </c:strCache>
            </c:strRef>
          </c:tx>
          <c:spPr>
            <a:ln>
              <a:noFill/>
            </a:ln>
          </c:spPr>
          <c:dPt>
            <c:idx val="0"/>
            <c:bubble3D val="0"/>
            <c:spPr>
              <a:solidFill>
                <a:schemeClr val="accent1">
                  <a:lumMod val="50000"/>
                </a:schemeClr>
              </a:solidFill>
              <a:ln>
                <a:noFill/>
              </a:ln>
              <a:effectLst/>
            </c:spPr>
            <c:extLst>
              <c:ext xmlns:c16="http://schemas.microsoft.com/office/drawing/2014/chart" uri="{C3380CC4-5D6E-409C-BE32-E72D297353CC}">
                <c16:uniqueId val="{00000001-CE28-4AA5-BE43-4A5A0AA890EA}"/>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CE28-4AA5-BE43-4A5A0AA890EA}"/>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05-CE28-4AA5-BE43-4A5A0AA890EA}"/>
              </c:ext>
            </c:extLst>
          </c:dPt>
          <c:dPt>
            <c:idx val="3"/>
            <c:bubble3D val="0"/>
            <c:spPr>
              <a:solidFill>
                <a:schemeClr val="accent1">
                  <a:lumMod val="40000"/>
                  <a:lumOff val="60000"/>
                </a:schemeClr>
              </a:solidFill>
              <a:ln>
                <a:noFill/>
              </a:ln>
              <a:effectLst/>
            </c:spPr>
            <c:extLst>
              <c:ext xmlns:c16="http://schemas.microsoft.com/office/drawing/2014/chart" uri="{C3380CC4-5D6E-409C-BE32-E72D297353CC}">
                <c16:uniqueId val="{00000007-CE28-4AA5-BE43-4A5A0AA890EA}"/>
              </c:ext>
            </c:extLst>
          </c:dPt>
          <c:dPt>
            <c:idx val="4"/>
            <c:bubble3D val="0"/>
            <c:spPr>
              <a:solidFill>
                <a:schemeClr val="accent1">
                  <a:lumMod val="20000"/>
                  <a:lumOff val="80000"/>
                </a:schemeClr>
              </a:solidFill>
              <a:ln>
                <a:noFill/>
              </a:ln>
              <a:effectLst/>
            </c:spPr>
            <c:extLst>
              <c:ext xmlns:c16="http://schemas.microsoft.com/office/drawing/2014/chart" uri="{C3380CC4-5D6E-409C-BE32-E72D297353CC}">
                <c16:uniqueId val="{00000009-CE28-4AA5-BE43-4A5A0AA890EA}"/>
              </c:ext>
            </c:extLst>
          </c:dPt>
          <c:dPt>
            <c:idx val="5"/>
            <c:bubble3D val="0"/>
            <c:spPr>
              <a:solidFill>
                <a:schemeClr val="accent3">
                  <a:lumMod val="20000"/>
                  <a:lumOff val="80000"/>
                </a:schemeClr>
              </a:solidFill>
              <a:ln>
                <a:noFill/>
              </a:ln>
              <a:effectLst/>
            </c:spPr>
            <c:extLst>
              <c:ext xmlns:c16="http://schemas.microsoft.com/office/drawing/2014/chart" uri="{C3380CC4-5D6E-409C-BE32-E72D297353CC}">
                <c16:uniqueId val="{0000000B-CE28-4AA5-BE43-4A5A0AA890EA}"/>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percent 2024'!$A$4:$A$9</c:f>
              <c:strCache>
                <c:ptCount val="6"/>
                <c:pt idx="0">
                  <c:v>Asia</c:v>
                </c:pt>
                <c:pt idx="1">
                  <c:v>Africa</c:v>
                </c:pt>
                <c:pt idx="2">
                  <c:v>Europe</c:v>
                </c:pt>
                <c:pt idx="3">
                  <c:v>North America</c:v>
                </c:pt>
                <c:pt idx="4">
                  <c:v>South America</c:v>
                </c:pt>
                <c:pt idx="5">
                  <c:v>Oceania</c:v>
                </c:pt>
              </c:strCache>
            </c:strRef>
          </c:cat>
          <c:val>
            <c:numRef>
              <c:f>'Regional percent 2024'!$B$4:$B$9</c:f>
              <c:numCache>
                <c:formatCode>0%</c:formatCode>
                <c:ptCount val="6"/>
                <c:pt idx="0">
                  <c:v>0.58778415869278466</c:v>
                </c:pt>
                <c:pt idx="1">
                  <c:v>0.18640050868586311</c:v>
                </c:pt>
                <c:pt idx="2">
                  <c:v>9.1509331047614231E-2</c:v>
                </c:pt>
                <c:pt idx="3">
                  <c:v>7.4939575370915099E-2</c:v>
                </c:pt>
                <c:pt idx="4">
                  <c:v>5.3617246092895865E-2</c:v>
                </c:pt>
                <c:pt idx="5">
                  <c:v>5.7491801099270505E-3</c:v>
                </c:pt>
              </c:numCache>
            </c:numRef>
          </c:val>
          <c:extLst>
            <c:ext xmlns:c16="http://schemas.microsoft.com/office/drawing/2014/chart" uri="{C3380CC4-5D6E-409C-BE32-E72D297353CC}">
              <c16:uniqueId val="{0000000C-CE28-4AA5-BE43-4A5A0AA890E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728011429238289"/>
          <c:y val="7.9846840500003194E-2"/>
          <c:w val="0.29260096227596244"/>
          <c:h val="0.8065180051805200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Bodoni MT" panose="020706030806060202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37.xlsx]Countries with decline in growt!PivotTable1</c:name>
    <c:fmtId val="4"/>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pivotFmt>
      <c:pivotFmt>
        <c:idx val="15"/>
        <c:spPr>
          <a:solidFill>
            <a:schemeClr val="accent1">
              <a:lumMod val="75000"/>
            </a:schemeClr>
          </a:solidFill>
          <a:ln>
            <a:noFill/>
          </a:ln>
          <a:effectLst/>
        </c:spPr>
      </c:pivotFmt>
      <c:pivotFmt>
        <c:idx val="16"/>
        <c:spPr>
          <a:solidFill>
            <a:schemeClr val="accent1">
              <a:lumMod val="60000"/>
              <a:lumOff val="40000"/>
            </a:schemeClr>
          </a:solidFill>
          <a:ln>
            <a:noFill/>
          </a:ln>
          <a:effectLst/>
        </c:spPr>
      </c:pivotFmt>
      <c:pivotFmt>
        <c:idx val="17"/>
        <c:spPr>
          <a:solidFill>
            <a:schemeClr val="accent1">
              <a:lumMod val="40000"/>
              <a:lumOff val="60000"/>
            </a:schemeClr>
          </a:solidFill>
          <a:ln>
            <a:noFill/>
          </a:ln>
          <a:effectLst/>
        </c:spPr>
      </c:pivotFmt>
      <c:pivotFmt>
        <c:idx val="18"/>
        <c:spPr>
          <a:solidFill>
            <a:schemeClr val="accent1">
              <a:lumMod val="20000"/>
              <a:lumOff val="80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75000"/>
            </a:schemeClr>
          </a:solidFill>
          <a:ln>
            <a:noFill/>
          </a:ln>
          <a:effectLst/>
        </c:spPr>
      </c:pivotFmt>
      <c:pivotFmt>
        <c:idx val="27"/>
        <c:spPr>
          <a:solidFill>
            <a:schemeClr val="accent1">
              <a:lumMod val="60000"/>
              <a:lumOff val="40000"/>
            </a:schemeClr>
          </a:solidFill>
          <a:ln>
            <a:noFill/>
          </a:ln>
          <a:effectLst/>
        </c:spPr>
      </c:pivotFmt>
      <c:pivotFmt>
        <c:idx val="28"/>
        <c:spPr>
          <a:solidFill>
            <a:schemeClr val="accent1">
              <a:lumMod val="40000"/>
              <a:lumOff val="6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lumMod val="50000"/>
            </a:schemeClr>
          </a:solidFill>
          <a:ln>
            <a:noFill/>
          </a:ln>
          <a:effectLst/>
        </c:spPr>
      </c:pivotFmt>
      <c:pivotFmt>
        <c:idx val="31"/>
        <c:spPr>
          <a:solidFill>
            <a:schemeClr val="accent1">
              <a:lumMod val="75000"/>
            </a:schemeClr>
          </a:solidFill>
          <a:ln>
            <a:noFill/>
          </a:ln>
          <a:effectLst/>
        </c:spPr>
      </c:pivotFmt>
      <c:pivotFmt>
        <c:idx val="32"/>
        <c:spPr>
          <a:solidFill>
            <a:schemeClr val="accent1">
              <a:lumMod val="60000"/>
              <a:lumOff val="40000"/>
            </a:schemeClr>
          </a:solidFill>
          <a:ln>
            <a:noFill/>
          </a:ln>
          <a:effectLst/>
        </c:spPr>
      </c:pivotFmt>
      <c:pivotFmt>
        <c:idx val="33"/>
        <c:spPr>
          <a:solidFill>
            <a:schemeClr val="accent1">
              <a:lumMod val="40000"/>
              <a:lumOff val="60000"/>
            </a:schemeClr>
          </a:solidFill>
          <a:ln>
            <a:noFill/>
          </a:ln>
          <a:effectLst/>
        </c:spPr>
      </c:pivotFmt>
      <c:pivotFmt>
        <c:idx val="34"/>
        <c:spPr>
          <a:solidFill>
            <a:schemeClr val="accent1">
              <a:lumMod val="20000"/>
              <a:lumOff val="80000"/>
            </a:schemeClr>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a:noFill/>
          </a:ln>
          <a:effectLst/>
        </c:spPr>
      </c:pivotFmt>
      <c:pivotFmt>
        <c:idx val="37"/>
        <c:spPr>
          <a:solidFill>
            <a:schemeClr val="accent1">
              <a:lumMod val="75000"/>
            </a:schemeClr>
          </a:solidFill>
          <a:ln>
            <a:noFill/>
          </a:ln>
          <a:effectLst/>
        </c:spPr>
      </c:pivotFmt>
      <c:pivotFmt>
        <c:idx val="38"/>
        <c:spPr>
          <a:solidFill>
            <a:schemeClr val="accent1">
              <a:lumMod val="60000"/>
              <a:lumOff val="40000"/>
            </a:schemeClr>
          </a:solidFill>
          <a:ln>
            <a:noFill/>
          </a:ln>
          <a:effectLst/>
        </c:spPr>
      </c:pivotFmt>
      <c:pivotFmt>
        <c:idx val="39"/>
        <c:spPr>
          <a:solidFill>
            <a:schemeClr val="accent1">
              <a:lumMod val="40000"/>
              <a:lumOff val="60000"/>
            </a:schemeClr>
          </a:solidFill>
          <a:ln>
            <a:noFill/>
          </a:ln>
          <a:effectLst/>
        </c:spPr>
      </c:pivotFmt>
      <c:pivotFmt>
        <c:idx val="40"/>
        <c:spPr>
          <a:solidFill>
            <a:schemeClr val="accent1">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20000"/>
              <a:lumOff val="80000"/>
            </a:schemeClr>
          </a:solidFill>
          <a:ln>
            <a:noFill/>
          </a:ln>
          <a:effectLst/>
        </c:spPr>
      </c:pivotFmt>
    </c:pivotFmts>
    <c:plotArea>
      <c:layout>
        <c:manualLayout>
          <c:layoutTarget val="inner"/>
          <c:xMode val="edge"/>
          <c:yMode val="edge"/>
          <c:x val="2.033194821459651E-2"/>
          <c:y val="0.25615246247396262"/>
          <c:w val="0.95130932583149641"/>
          <c:h val="0.69484728143593744"/>
        </c:manualLayout>
      </c:layout>
      <c:barChart>
        <c:barDir val="col"/>
        <c:grouping val="clustered"/>
        <c:varyColors val="0"/>
        <c:ser>
          <c:idx val="0"/>
          <c:order val="0"/>
          <c:tx>
            <c:strRef>
              <c:f>'Countries with decline in growt'!$B$3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765A-427B-A9A6-C94C8BDFB8C8}"/>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765A-427B-A9A6-C94C8BDFB8C8}"/>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765A-427B-A9A6-C94C8BDFB8C8}"/>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765A-427B-A9A6-C94C8BDFB8C8}"/>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765A-427B-A9A6-C94C8BDFB8C8}"/>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'Countries with decline in growt'!$A$4:$A$8</c:f>
              <c:strCache>
                <c:ptCount val="5"/>
                <c:pt idx="0">
                  <c:v>Latvia</c:v>
                </c:pt>
                <c:pt idx="1">
                  <c:v>Bosnia and Herzegovina</c:v>
                </c:pt>
                <c:pt idx="2">
                  <c:v>Ukraine</c:v>
                </c:pt>
                <c:pt idx="3">
                  <c:v>Bulgaria</c:v>
                </c:pt>
                <c:pt idx="4">
                  <c:v>Georgia</c:v>
                </c:pt>
              </c:strCache>
            </c:strRef>
          </c:cat>
          <c:val>
            <c:numRef>
              <c:f>'Countries with decline in growt'!$B$4:$B$8</c:f>
              <c:numCache>
                <c:formatCode>0.00</c:formatCode>
                <c:ptCount val="5"/>
                <c:pt idx="0">
                  <c:v>-30.066263610287216</c:v>
                </c:pt>
                <c:pt idx="1">
                  <c:v>-28.871644713949301</c:v>
                </c:pt>
                <c:pt idx="2">
                  <c:v>-27.26754123383806</c:v>
                </c:pt>
                <c:pt idx="3">
                  <c:v>-26.082216361490197</c:v>
                </c:pt>
                <c:pt idx="4">
                  <c:v>-23.493336109954186</c:v>
                </c:pt>
              </c:numCache>
            </c:numRef>
          </c:val>
          <c:extLst>
            <c:ext xmlns:c16="http://schemas.microsoft.com/office/drawing/2014/chart" uri="{C3380CC4-5D6E-409C-BE32-E72D297353CC}">
              <c16:uniqueId val="{0000000A-765A-427B-A9A6-C94C8BDFB8C8}"/>
            </c:ext>
          </c:extLst>
        </c:ser>
        <c:dLbls>
          <c:dLblPos val="outEnd"/>
          <c:showLegendKey val="0"/>
          <c:showVal val="1"/>
          <c:showCatName val="0"/>
          <c:showSerName val="0"/>
          <c:showPercent val="0"/>
          <c:showBubbleSize val="0"/>
        </c:dLbls>
        <c:gapWidth val="25"/>
        <c:overlap val="-27"/>
        <c:axId val="1047472511"/>
        <c:axId val="1047472927"/>
      </c:barChart>
      <c:catAx>
        <c:axId val="1047472511"/>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Bodoni MT" panose="02070603080606020203" pitchFamily="18" charset="0"/>
                <a:ea typeface="+mn-ea"/>
                <a:cs typeface="+mn-cs"/>
              </a:defRPr>
            </a:pPr>
            <a:endParaRPr lang="en-NG"/>
          </a:p>
        </c:txPr>
        <c:crossAx val="1047472927"/>
        <c:crosses val="autoZero"/>
        <c:auto val="1"/>
        <c:lblAlgn val="ctr"/>
        <c:lblOffset val="100"/>
        <c:noMultiLvlLbl val="0"/>
      </c:catAx>
      <c:valAx>
        <c:axId val="1047472927"/>
        <c:scaling>
          <c:orientation val="minMax"/>
        </c:scaling>
        <c:delete val="1"/>
        <c:axPos val="l"/>
        <c:majorGridlines>
          <c:spPr>
            <a:ln w="9525" cap="flat" cmpd="sng" algn="ctr">
              <a:solidFill>
                <a:schemeClr val="bg1">
                  <a:lumMod val="95000"/>
                </a:schemeClr>
              </a:solidFill>
              <a:round/>
            </a:ln>
            <a:effectLst/>
          </c:spPr>
        </c:majorGridlines>
        <c:numFmt formatCode="0.00" sourceLinked="1"/>
        <c:majorTickMark val="none"/>
        <c:minorTickMark val="none"/>
        <c:tickLblPos val="nextTo"/>
        <c:crossAx val="104747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1.xml"/><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266700</xdr:colOff>
      <xdr:row>1</xdr:row>
      <xdr:rowOff>73025</xdr:rowOff>
    </xdr:from>
    <xdr:to>
      <xdr:col>10</xdr:col>
      <xdr:colOff>292100</xdr:colOff>
      <xdr:row>16</xdr:row>
      <xdr:rowOff>53975</xdr:rowOff>
    </xdr:to>
    <xdr:graphicFrame macro="">
      <xdr:nvGraphicFramePr>
        <xdr:cNvPr id="2" name="Chart 1">
          <a:extLst>
            <a:ext uri="{FF2B5EF4-FFF2-40B4-BE49-F238E27FC236}">
              <a16:creationId xmlns:a16="http://schemas.microsoft.com/office/drawing/2014/main" id="{10A8A587-68A4-4D98-B523-B295B582F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266700</xdr:colOff>
      <xdr:row>1</xdr:row>
      <xdr:rowOff>73025</xdr:rowOff>
    </xdr:from>
    <xdr:to>
      <xdr:col>10</xdr:col>
      <xdr:colOff>158750</xdr:colOff>
      <xdr:row>16</xdr:row>
      <xdr:rowOff>53975</xdr:rowOff>
    </xdr:to>
    <xdr:graphicFrame macro="">
      <xdr:nvGraphicFramePr>
        <xdr:cNvPr id="2" name="Chart 1">
          <a:extLst>
            <a:ext uri="{FF2B5EF4-FFF2-40B4-BE49-F238E27FC236}">
              <a16:creationId xmlns:a16="http://schemas.microsoft.com/office/drawing/2014/main" id="{8571D98E-4290-422B-B35C-67DD2F912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266700</xdr:colOff>
      <xdr:row>1</xdr:row>
      <xdr:rowOff>73025</xdr:rowOff>
    </xdr:from>
    <xdr:to>
      <xdr:col>10</xdr:col>
      <xdr:colOff>158750</xdr:colOff>
      <xdr:row>16</xdr:row>
      <xdr:rowOff>53975</xdr:rowOff>
    </xdr:to>
    <xdr:graphicFrame macro="">
      <xdr:nvGraphicFramePr>
        <xdr:cNvPr id="2" name="Chart 1">
          <a:extLst>
            <a:ext uri="{FF2B5EF4-FFF2-40B4-BE49-F238E27FC236}">
              <a16:creationId xmlns:a16="http://schemas.microsoft.com/office/drawing/2014/main" id="{EB4EF7B4-E817-4BDD-90AA-4C188B030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266700</xdr:colOff>
      <xdr:row>1</xdr:row>
      <xdr:rowOff>73025</xdr:rowOff>
    </xdr:from>
    <xdr:to>
      <xdr:col>10</xdr:col>
      <xdr:colOff>158750</xdr:colOff>
      <xdr:row>16</xdr:row>
      <xdr:rowOff>53975</xdr:rowOff>
    </xdr:to>
    <xdr:graphicFrame macro="">
      <xdr:nvGraphicFramePr>
        <xdr:cNvPr id="2" name="Chart 1">
          <a:extLst>
            <a:ext uri="{FF2B5EF4-FFF2-40B4-BE49-F238E27FC236}">
              <a16:creationId xmlns:a16="http://schemas.microsoft.com/office/drawing/2014/main" id="{646A94DA-7CD4-487B-A176-2AD620957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266700</xdr:colOff>
      <xdr:row>1</xdr:row>
      <xdr:rowOff>73025</xdr:rowOff>
    </xdr:from>
    <xdr:to>
      <xdr:col>10</xdr:col>
      <xdr:colOff>158750</xdr:colOff>
      <xdr:row>16</xdr:row>
      <xdr:rowOff>53975</xdr:rowOff>
    </xdr:to>
    <xdr:graphicFrame macro="">
      <xdr:nvGraphicFramePr>
        <xdr:cNvPr id="2" name="Chart 1">
          <a:extLst>
            <a:ext uri="{FF2B5EF4-FFF2-40B4-BE49-F238E27FC236}">
              <a16:creationId xmlns:a16="http://schemas.microsoft.com/office/drawing/2014/main" id="{435C5E09-64CD-44D7-8276-97F7E02B0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266700</xdr:colOff>
      <xdr:row>1</xdr:row>
      <xdr:rowOff>73025</xdr:rowOff>
    </xdr:from>
    <xdr:to>
      <xdr:col>10</xdr:col>
      <xdr:colOff>158750</xdr:colOff>
      <xdr:row>16</xdr:row>
      <xdr:rowOff>53975</xdr:rowOff>
    </xdr:to>
    <xdr:graphicFrame macro="">
      <xdr:nvGraphicFramePr>
        <xdr:cNvPr id="2" name="Chart 1">
          <a:extLst>
            <a:ext uri="{FF2B5EF4-FFF2-40B4-BE49-F238E27FC236}">
              <a16:creationId xmlns:a16="http://schemas.microsoft.com/office/drawing/2014/main" id="{7F914272-002E-4B93-85A8-B9E818BD0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266700</xdr:colOff>
      <xdr:row>0</xdr:row>
      <xdr:rowOff>101600</xdr:rowOff>
    </xdr:from>
    <xdr:to>
      <xdr:col>8</xdr:col>
      <xdr:colOff>260350</xdr:colOff>
      <xdr:row>17</xdr:row>
      <xdr:rowOff>95250</xdr:rowOff>
    </xdr:to>
    <xdr:sp macro="" textlink="">
      <xdr:nvSpPr>
        <xdr:cNvPr id="2" name="Rectangle 1">
          <a:extLst>
            <a:ext uri="{FF2B5EF4-FFF2-40B4-BE49-F238E27FC236}">
              <a16:creationId xmlns:a16="http://schemas.microsoft.com/office/drawing/2014/main" id="{D138037B-235C-4A7C-8D04-98C04B460ACE}"/>
            </a:ext>
          </a:extLst>
        </xdr:cNvPr>
        <xdr:cNvSpPr/>
      </xdr:nvSpPr>
      <xdr:spPr>
        <a:xfrm>
          <a:off x="266700" y="101600"/>
          <a:ext cx="4870450" cy="31242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PROJECT SPLIT</a:t>
          </a:r>
        </a:p>
        <a:p>
          <a:pPr algn="l"/>
          <a:r>
            <a:rPr lang="en-GB" sz="1100">
              <a:solidFill>
                <a:schemeClr val="bg1"/>
              </a:solidFill>
            </a:rPr>
            <a:t>Category</a:t>
          </a:r>
          <a:r>
            <a:rPr lang="en-GB" sz="1100" baseline="0">
              <a:solidFill>
                <a:schemeClr val="bg1"/>
              </a:solidFill>
            </a:rPr>
            <a:t> one - Independent variables</a:t>
          </a:r>
        </a:p>
        <a:p>
          <a:pPr algn="l"/>
          <a:r>
            <a:rPr lang="en-GB" sz="1100" baseline="0">
              <a:solidFill>
                <a:schemeClr val="bg1"/>
              </a:solidFill>
            </a:rPr>
            <a:t>- Country name</a:t>
          </a:r>
        </a:p>
        <a:p>
          <a:pPr algn="l"/>
          <a:r>
            <a:rPr lang="en-GB" sz="1100" baseline="0">
              <a:solidFill>
                <a:schemeClr val="bg1"/>
              </a:solidFill>
            </a:rPr>
            <a:t>- Country code</a:t>
          </a:r>
        </a:p>
        <a:p>
          <a:pPr algn="l"/>
          <a:r>
            <a:rPr lang="en-GB" sz="1100" baseline="0">
              <a:solidFill>
                <a:schemeClr val="bg1"/>
              </a:solidFill>
            </a:rPr>
            <a:t>- Region</a:t>
          </a:r>
        </a:p>
        <a:p>
          <a:pPr algn="l"/>
          <a:endParaRPr lang="en-GB" sz="1100" baseline="0">
            <a:solidFill>
              <a:schemeClr val="bg1"/>
            </a:solidFill>
          </a:endParaRPr>
        </a:p>
        <a:p>
          <a:pPr algn="l"/>
          <a:r>
            <a:rPr lang="en-GB" sz="1100" baseline="0">
              <a:solidFill>
                <a:schemeClr val="bg1"/>
              </a:solidFill>
            </a:rPr>
            <a:t>Category two - Dependent variables</a:t>
          </a:r>
        </a:p>
        <a:p>
          <a:pPr algn="l"/>
          <a:r>
            <a:rPr lang="en-GB" sz="1100" baseline="0">
              <a:solidFill>
                <a:schemeClr val="bg1"/>
              </a:solidFill>
            </a:rPr>
            <a:t>- 1990	- 2023</a:t>
          </a:r>
        </a:p>
        <a:p>
          <a:pPr algn="l"/>
          <a:r>
            <a:rPr lang="en-GB" sz="1100" baseline="0">
              <a:solidFill>
                <a:schemeClr val="bg1"/>
              </a:solidFill>
            </a:rPr>
            <a:t>- 2000	- 2024</a:t>
          </a:r>
        </a:p>
        <a:p>
          <a:pPr algn="l"/>
          <a:r>
            <a:rPr lang="en-GB" sz="1100" baseline="0">
              <a:solidFill>
                <a:schemeClr val="bg1"/>
              </a:solidFill>
            </a:rPr>
            <a:t>- 2015	- Growth Rate %</a:t>
          </a:r>
        </a:p>
        <a:p>
          <a:pPr algn="l"/>
          <a:r>
            <a:rPr lang="en-GB" sz="1100" baseline="0">
              <a:solidFill>
                <a:schemeClr val="bg1"/>
              </a:solidFill>
            </a:rPr>
            <a:t>- 2016	- Avg Annual Growth Rate</a:t>
          </a:r>
        </a:p>
        <a:p>
          <a:pPr algn="l"/>
          <a:r>
            <a:rPr lang="en-GB" sz="1100" baseline="0">
              <a:solidFill>
                <a:schemeClr val="bg1"/>
              </a:solidFill>
            </a:rPr>
            <a:t>- 2017</a:t>
          </a:r>
        </a:p>
        <a:p>
          <a:pPr algn="l"/>
          <a:r>
            <a:rPr lang="en-GB" sz="1100" baseline="0">
              <a:solidFill>
                <a:schemeClr val="bg1"/>
              </a:solidFill>
            </a:rPr>
            <a:t>- 2018</a:t>
          </a:r>
        </a:p>
        <a:p>
          <a:pPr algn="l"/>
          <a:r>
            <a:rPr lang="en-GB" sz="1100" baseline="0">
              <a:solidFill>
                <a:schemeClr val="bg1"/>
              </a:solidFill>
            </a:rPr>
            <a:t>- 2019</a:t>
          </a:r>
        </a:p>
        <a:p>
          <a:pPr algn="l"/>
          <a:r>
            <a:rPr lang="en-GB" sz="1100" baseline="0">
              <a:solidFill>
                <a:schemeClr val="bg1"/>
              </a:solidFill>
            </a:rPr>
            <a:t>- 2020</a:t>
          </a:r>
        </a:p>
        <a:p>
          <a:pPr algn="l"/>
          <a:r>
            <a:rPr lang="en-GB" sz="1100" baseline="0">
              <a:solidFill>
                <a:schemeClr val="bg1"/>
              </a:solidFill>
            </a:rPr>
            <a:t>- 2021</a:t>
          </a:r>
        </a:p>
        <a:p>
          <a:pPr algn="l"/>
          <a:r>
            <a:rPr lang="en-GB" sz="1100" baseline="0">
              <a:solidFill>
                <a:schemeClr val="bg1"/>
              </a:solidFill>
            </a:rPr>
            <a:t>- 2022</a:t>
          </a:r>
          <a:endParaRPr lang="en-NG" sz="1100">
            <a:solidFill>
              <a:schemeClr val="bg1"/>
            </a:solidFill>
          </a:endParaRPr>
        </a:p>
      </xdr:txBody>
    </xdr:sp>
    <xdr:clientData/>
  </xdr:twoCellAnchor>
  <xdr:twoCellAnchor>
    <xdr:from>
      <xdr:col>8</xdr:col>
      <xdr:colOff>508000</xdr:colOff>
      <xdr:row>0</xdr:row>
      <xdr:rowOff>107950</xdr:rowOff>
    </xdr:from>
    <xdr:to>
      <xdr:col>16</xdr:col>
      <xdr:colOff>501650</xdr:colOff>
      <xdr:row>17</xdr:row>
      <xdr:rowOff>101600</xdr:rowOff>
    </xdr:to>
    <xdr:sp macro="" textlink="">
      <xdr:nvSpPr>
        <xdr:cNvPr id="3" name="Rectangle 2">
          <a:extLst>
            <a:ext uri="{FF2B5EF4-FFF2-40B4-BE49-F238E27FC236}">
              <a16:creationId xmlns:a16="http://schemas.microsoft.com/office/drawing/2014/main" id="{A56E5CE1-17F7-497B-B57C-7C2AF9F42B8D}"/>
            </a:ext>
          </a:extLst>
        </xdr:cNvPr>
        <xdr:cNvSpPr/>
      </xdr:nvSpPr>
      <xdr:spPr>
        <a:xfrm>
          <a:off x="5384800" y="107950"/>
          <a:ext cx="4870450" cy="31242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accent1">
                  <a:lumMod val="50000"/>
                </a:schemeClr>
              </a:solidFill>
            </a:rPr>
            <a:t>EXPECTED INSIGHT</a:t>
          </a:r>
        </a:p>
        <a:p>
          <a:pPr algn="l"/>
          <a:r>
            <a:rPr lang="en-GB" sz="1100">
              <a:solidFill>
                <a:schemeClr val="accent1">
                  <a:lumMod val="50000"/>
                </a:schemeClr>
              </a:solidFill>
            </a:rPr>
            <a:t>- Top Region with highest</a:t>
          </a:r>
          <a:r>
            <a:rPr lang="en-GB" sz="1100" baseline="0">
              <a:solidFill>
                <a:schemeClr val="accent1">
                  <a:lumMod val="50000"/>
                </a:schemeClr>
              </a:solidFill>
            </a:rPr>
            <a:t> population in 2024</a:t>
          </a:r>
        </a:p>
        <a:p>
          <a:pPr algn="l"/>
          <a:r>
            <a:rPr lang="en-GB" sz="1100" baseline="0">
              <a:solidFill>
                <a:schemeClr val="accent1">
                  <a:lumMod val="50000"/>
                </a:schemeClr>
              </a:solidFill>
            </a:rPr>
            <a:t>- Fast growing population (growth rate %) from 1990 - 2024</a:t>
          </a:r>
        </a:p>
        <a:p>
          <a:pPr algn="l"/>
          <a:r>
            <a:rPr lang="en-GB" sz="1100" baseline="0">
              <a:solidFill>
                <a:schemeClr val="accent1">
                  <a:lumMod val="50000"/>
                </a:schemeClr>
              </a:solidFill>
            </a:rPr>
            <a:t>- Countries with decline in growth rate %</a:t>
          </a:r>
        </a:p>
        <a:p>
          <a:pPr algn="l"/>
          <a:r>
            <a:rPr lang="en-GB" sz="1100" baseline="0">
              <a:solidFill>
                <a:schemeClr val="accent1">
                  <a:lumMod val="50000"/>
                </a:schemeClr>
              </a:solidFill>
            </a:rPr>
            <a:t>- Avg annual growth rate by region</a:t>
          </a:r>
        </a:p>
        <a:p>
          <a:pPr algn="l"/>
          <a:r>
            <a:rPr lang="en-GB" sz="1100" baseline="0">
              <a:solidFill>
                <a:schemeClr val="accent1">
                  <a:lumMod val="50000"/>
                </a:schemeClr>
              </a:solidFill>
            </a:rPr>
            <a:t>- Top 6 countries that contributed to global population in 2024</a:t>
          </a:r>
        </a:p>
        <a:p>
          <a:pPr algn="l"/>
          <a:r>
            <a:rPr lang="en-GB" sz="1100" baseline="0">
              <a:solidFill>
                <a:schemeClr val="accent1">
                  <a:lumMod val="50000"/>
                </a:schemeClr>
              </a:solidFill>
            </a:rPr>
            <a:t>- Regional Percentage in 2024</a:t>
          </a:r>
          <a:endParaRPr lang="en-GB" sz="1100">
            <a:solidFill>
              <a:schemeClr val="accent1">
                <a:lumMod val="50000"/>
              </a:schemeClr>
            </a:solidFill>
          </a:endParaRPr>
        </a:p>
        <a:p>
          <a:pPr algn="l"/>
          <a:endParaRPr lang="en-GB" sz="1100">
            <a:solidFill>
              <a:schemeClr val="accent1">
                <a:lumMod val="50000"/>
              </a:schemeClr>
            </a:solidFill>
          </a:endParaRPr>
        </a:p>
        <a:p>
          <a:pPr algn="l"/>
          <a:r>
            <a:rPr lang="en-GB" sz="1100">
              <a:solidFill>
                <a:schemeClr val="accent1">
                  <a:lumMod val="50000"/>
                </a:schemeClr>
              </a:solidFill>
            </a:rPr>
            <a:t>COLUMNS APPENDED</a:t>
          </a:r>
        </a:p>
        <a:p>
          <a:pPr algn="l"/>
          <a:r>
            <a:rPr lang="en-GB" sz="1100">
              <a:solidFill>
                <a:schemeClr val="accent1">
                  <a:lumMod val="50000"/>
                </a:schemeClr>
              </a:solidFill>
            </a:rPr>
            <a:t>-</a:t>
          </a:r>
          <a:r>
            <a:rPr lang="en-GB" sz="1100" baseline="0">
              <a:solidFill>
                <a:schemeClr val="accent1">
                  <a:lumMod val="50000"/>
                </a:schemeClr>
              </a:solidFill>
            </a:rPr>
            <a:t> </a:t>
          </a:r>
          <a:r>
            <a:rPr lang="en-GB" sz="1100" b="0" baseline="0">
              <a:solidFill>
                <a:schemeClr val="accent1">
                  <a:lumMod val="50000"/>
                </a:schemeClr>
              </a:solidFill>
            </a:rPr>
            <a:t>Region</a:t>
          </a:r>
        </a:p>
        <a:p>
          <a:pPr algn="l"/>
          <a:r>
            <a:rPr lang="en-GB" sz="1100" b="0" baseline="0">
              <a:solidFill>
                <a:schemeClr val="accent1">
                  <a:lumMod val="50000"/>
                </a:schemeClr>
              </a:solidFill>
            </a:rPr>
            <a:t>- Growth Rate%</a:t>
          </a:r>
        </a:p>
        <a:p>
          <a:pPr algn="l"/>
          <a:r>
            <a:rPr lang="en-GB" sz="1100" b="0" baseline="0">
              <a:solidFill>
                <a:schemeClr val="accent1">
                  <a:lumMod val="50000"/>
                </a:schemeClr>
              </a:solidFill>
            </a:rPr>
            <a:t>- Avg Annual Growth Rate</a:t>
          </a:r>
          <a:endParaRPr lang="en-NG" sz="1100">
            <a:solidFill>
              <a:schemeClr val="accent1">
                <a:lumMod val="50000"/>
              </a:schemeClr>
            </a:solidFill>
          </a:endParaRPr>
        </a:p>
      </xdr:txBody>
    </xdr:sp>
    <xdr:clientData/>
  </xdr:twoCellAnchor>
  <xdr:twoCellAnchor>
    <xdr:from>
      <xdr:col>0</xdr:col>
      <xdr:colOff>279400</xdr:colOff>
      <xdr:row>18</xdr:row>
      <xdr:rowOff>152400</xdr:rowOff>
    </xdr:from>
    <xdr:to>
      <xdr:col>8</xdr:col>
      <xdr:colOff>273050</xdr:colOff>
      <xdr:row>35</xdr:row>
      <xdr:rowOff>146050</xdr:rowOff>
    </xdr:to>
    <xdr:sp macro="" textlink="">
      <xdr:nvSpPr>
        <xdr:cNvPr id="4" name="Rectangle 3">
          <a:extLst>
            <a:ext uri="{FF2B5EF4-FFF2-40B4-BE49-F238E27FC236}">
              <a16:creationId xmlns:a16="http://schemas.microsoft.com/office/drawing/2014/main" id="{6FEF83E9-D455-4520-B6A0-99A5557C752E}"/>
            </a:ext>
          </a:extLst>
        </xdr:cNvPr>
        <xdr:cNvSpPr/>
      </xdr:nvSpPr>
      <xdr:spPr>
        <a:xfrm>
          <a:off x="279400" y="3467100"/>
          <a:ext cx="4870450" cy="31242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accent1">
                  <a:lumMod val="50000"/>
                </a:schemeClr>
              </a:solidFill>
            </a:rPr>
            <a:t>POTENTIAL ANALYSIS</a:t>
          </a:r>
          <a:r>
            <a:rPr lang="en-GB" sz="1100" baseline="0">
              <a:solidFill>
                <a:schemeClr val="accent1">
                  <a:lumMod val="50000"/>
                </a:schemeClr>
              </a:solidFill>
            </a:rPr>
            <a:t> QUESTIONS</a:t>
          </a:r>
        </a:p>
        <a:p>
          <a:pPr algn="l"/>
          <a:r>
            <a:rPr lang="en-GB" sz="1100">
              <a:solidFill>
                <a:schemeClr val="accent1">
                  <a:lumMod val="50000"/>
                </a:schemeClr>
              </a:solidFill>
            </a:rPr>
            <a:t>- </a:t>
          </a:r>
          <a:r>
            <a:rPr lang="en-GB">
              <a:solidFill>
                <a:schemeClr val="accent1">
                  <a:lumMod val="50000"/>
                </a:schemeClr>
              </a:solidFill>
            </a:rPr>
            <a:t>Which region recorded the highest total population in 2024?</a:t>
          </a:r>
        </a:p>
        <a:p>
          <a:pPr algn="l"/>
          <a:r>
            <a:rPr lang="en-GB" sz="1100">
              <a:solidFill>
                <a:schemeClr val="accent1">
                  <a:lumMod val="50000"/>
                </a:schemeClr>
              </a:solidFill>
            </a:rPr>
            <a:t>- </a:t>
          </a:r>
          <a:r>
            <a:rPr lang="en-GB">
              <a:solidFill>
                <a:schemeClr val="accent1">
                  <a:lumMod val="50000"/>
                </a:schemeClr>
              </a:solidFill>
            </a:rPr>
            <a:t>Which countries have the fastest population growth (%) from 1990 to 2024?</a:t>
          </a:r>
        </a:p>
        <a:p>
          <a:pPr algn="l"/>
          <a:r>
            <a:rPr lang="en-GB" sz="1100">
              <a:solidFill>
                <a:schemeClr val="accent1">
                  <a:lumMod val="50000"/>
                </a:schemeClr>
              </a:solidFill>
            </a:rPr>
            <a:t>- </a:t>
          </a:r>
          <a:r>
            <a:rPr lang="en-GB">
              <a:solidFill>
                <a:schemeClr val="accent1">
                  <a:lumMod val="50000"/>
                </a:schemeClr>
              </a:solidFill>
            </a:rPr>
            <a:t>Which regions experienced population decline (negative growth)?</a:t>
          </a:r>
        </a:p>
        <a:p>
          <a:pPr algn="l"/>
          <a:r>
            <a:rPr lang="en-GB" sz="1100">
              <a:solidFill>
                <a:schemeClr val="accent1">
                  <a:lumMod val="50000"/>
                </a:schemeClr>
              </a:solidFill>
            </a:rPr>
            <a:t>- </a:t>
          </a:r>
          <a:r>
            <a:rPr lang="en-GB">
              <a:solidFill>
                <a:schemeClr val="accent1">
                  <a:lumMod val="50000"/>
                </a:schemeClr>
              </a:solidFill>
            </a:rPr>
            <a:t>What is the average annual growth rate (%) by region between 1990 and 2024?</a:t>
          </a:r>
        </a:p>
        <a:p>
          <a:r>
            <a:rPr lang="en-GB" sz="1100">
              <a:solidFill>
                <a:schemeClr val="accent1">
                  <a:lumMod val="50000"/>
                </a:schemeClr>
              </a:solidFill>
            </a:rPr>
            <a:t>- </a:t>
          </a:r>
          <a:r>
            <a:rPr lang="en-GB">
              <a:solidFill>
                <a:schemeClr val="accent1">
                  <a:lumMod val="50000"/>
                </a:schemeClr>
              </a:solidFill>
            </a:rPr>
            <a:t>Which 6 countries contribute most to the global population in 2024?</a:t>
          </a:r>
        </a:p>
        <a:p>
          <a:r>
            <a:rPr lang="en-GB" sz="1100">
              <a:solidFill>
                <a:schemeClr val="accent1">
                  <a:lumMod val="50000"/>
                </a:schemeClr>
              </a:solidFill>
            </a:rPr>
            <a:t>- </a:t>
          </a:r>
          <a:r>
            <a:rPr lang="en-GB">
              <a:solidFill>
                <a:schemeClr val="accent1">
                  <a:lumMod val="50000"/>
                </a:schemeClr>
              </a:solidFill>
            </a:rPr>
            <a:t>What share of the world’s 2024 population belongs to each region?</a:t>
          </a:r>
          <a:endParaRPr lang="en-NG" sz="1100">
            <a:solidFill>
              <a:schemeClr val="accent1">
                <a:lumMod val="50000"/>
              </a:schemeClr>
            </a:solidFill>
          </a:endParaRPr>
        </a:p>
      </xdr:txBody>
    </xdr:sp>
    <xdr:clientData/>
  </xdr:twoCellAnchor>
  <xdr:twoCellAnchor>
    <xdr:from>
      <xdr:col>8</xdr:col>
      <xdr:colOff>508000</xdr:colOff>
      <xdr:row>18</xdr:row>
      <xdr:rowOff>152400</xdr:rowOff>
    </xdr:from>
    <xdr:to>
      <xdr:col>16</xdr:col>
      <xdr:colOff>501650</xdr:colOff>
      <xdr:row>35</xdr:row>
      <xdr:rowOff>146050</xdr:rowOff>
    </xdr:to>
    <xdr:sp macro="" textlink="">
      <xdr:nvSpPr>
        <xdr:cNvPr id="5" name="Rectangle 4">
          <a:extLst>
            <a:ext uri="{FF2B5EF4-FFF2-40B4-BE49-F238E27FC236}">
              <a16:creationId xmlns:a16="http://schemas.microsoft.com/office/drawing/2014/main" id="{3EB374E3-10C7-4636-AC24-D117CFEF39D8}"/>
            </a:ext>
          </a:extLst>
        </xdr:cNvPr>
        <xdr:cNvSpPr/>
      </xdr:nvSpPr>
      <xdr:spPr>
        <a:xfrm>
          <a:off x="5384800" y="3467100"/>
          <a:ext cx="4870450" cy="31242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INDUSTRY TYPE</a:t>
          </a:r>
        </a:p>
        <a:p>
          <a:pPr algn="l"/>
          <a:r>
            <a:rPr lang="en-GB"/>
            <a:t>Population and Demography sector</a:t>
          </a:r>
          <a:endParaRPr lang="en-GB" sz="1100">
            <a:solidFill>
              <a:schemeClr val="bg1"/>
            </a:solidFill>
          </a:endParaRPr>
        </a:p>
        <a:p>
          <a:pPr algn="l"/>
          <a:endParaRPr lang="en-GB" sz="1100">
            <a:solidFill>
              <a:schemeClr val="bg1"/>
            </a:solidFill>
          </a:endParaRPr>
        </a:p>
        <a:p>
          <a:pPr algn="l"/>
          <a:r>
            <a:rPr lang="en-GB" sz="1100">
              <a:solidFill>
                <a:schemeClr val="bg1"/>
              </a:solidFill>
            </a:rPr>
            <a:t>DATA STORY</a:t>
          </a:r>
        </a:p>
        <a:p>
          <a:pPr algn="l"/>
          <a:r>
            <a:rPr lang="en-GB"/>
            <a:t>The dataset tracks </a:t>
          </a:r>
          <a:r>
            <a:rPr lang="en-GB" b="0"/>
            <a:t>population changes between 1990 and 2024 </a:t>
          </a:r>
          <a:r>
            <a:rPr lang="en-GB"/>
            <a:t>for multiple countries worldwide.</a:t>
          </a:r>
          <a:endParaRPr lang="en-GB" sz="1100">
            <a:solidFill>
              <a:schemeClr val="bg1"/>
            </a:solidFill>
          </a:endParaRPr>
        </a:p>
        <a:p>
          <a:pPr algn="l"/>
          <a:endParaRPr lang="en-GB" sz="1100">
            <a:solidFill>
              <a:schemeClr val="bg1"/>
            </a:solidFill>
          </a:endParaRPr>
        </a:p>
        <a:p>
          <a:pPr algn="l"/>
          <a:r>
            <a:rPr lang="en-GB" sz="1100">
              <a:solidFill>
                <a:schemeClr val="bg1"/>
              </a:solidFill>
            </a:rPr>
            <a:t>STAKEHOLDERS OF</a:t>
          </a:r>
          <a:r>
            <a:rPr lang="en-GB" sz="1100" baseline="0">
              <a:solidFill>
                <a:schemeClr val="bg1"/>
              </a:solidFill>
            </a:rPr>
            <a:t> PROJECT</a:t>
          </a:r>
        </a:p>
        <a:p>
          <a:pPr algn="l"/>
          <a:r>
            <a:rPr lang="en-GB"/>
            <a:t>National Governments &amp; Policy Makers</a:t>
          </a:r>
        </a:p>
        <a:p>
          <a:pPr algn="l"/>
          <a:r>
            <a:rPr lang="en-GB"/>
            <a:t>International Organizations (e.g., UN, World Bank, WHO)</a:t>
          </a:r>
        </a:p>
        <a:p>
          <a:pPr algn="l"/>
          <a:r>
            <a:rPr lang="en-GB"/>
            <a:t>Researchers &amp; Academics</a:t>
          </a:r>
        </a:p>
        <a:p>
          <a:pPr algn="l"/>
          <a:r>
            <a:rPr lang="en-GB"/>
            <a:t>NGOs &amp; Development Agencies</a:t>
          </a:r>
        </a:p>
        <a:p>
          <a:pPr algn="l"/>
          <a:r>
            <a:rPr lang="en-GB"/>
            <a:t>Private Sector &amp; Investors</a:t>
          </a:r>
          <a:endParaRPr lang="en-GB" sz="1100" baseline="0">
            <a:solidFill>
              <a:schemeClr val="bg1"/>
            </a:solidFill>
          </a:endParaRPr>
        </a:p>
        <a:p>
          <a:pPr algn="l"/>
          <a:endParaRPr lang="en-GB" sz="1100" baseline="0">
            <a:solidFill>
              <a:schemeClr val="bg1"/>
            </a:solidFill>
          </a:endParaRPr>
        </a:p>
        <a:p>
          <a:pPr algn="l"/>
          <a:r>
            <a:rPr lang="en-GB" sz="1100" baseline="0">
              <a:solidFill>
                <a:schemeClr val="bg1"/>
              </a:solidFill>
            </a:rPr>
            <a:t>DEFINITION OF SUCCESS</a:t>
          </a:r>
        </a:p>
        <a:p>
          <a:pPr algn="l"/>
          <a:r>
            <a:rPr lang="en-GB"/>
            <a:t>Accurately calculating </a:t>
          </a:r>
          <a:r>
            <a:rPr lang="en-GB" b="0"/>
            <a:t>growth trends and regional patterns</a:t>
          </a:r>
        </a:p>
        <a:p>
          <a:pPr algn="l"/>
          <a:r>
            <a:rPr lang="en-GB" sz="1100" b="0">
              <a:solidFill>
                <a:schemeClr val="bg1"/>
              </a:solidFill>
            </a:rPr>
            <a:t>Proper distribution of resources</a:t>
          </a:r>
          <a:endParaRPr lang="en-NG" sz="1100" b="0">
            <a:solidFill>
              <a:schemeClr val="bg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266700</xdr:colOff>
      <xdr:row>0</xdr:row>
      <xdr:rowOff>101600</xdr:rowOff>
    </xdr:from>
    <xdr:to>
      <xdr:col>8</xdr:col>
      <xdr:colOff>260350</xdr:colOff>
      <xdr:row>22</xdr:row>
      <xdr:rowOff>63500</xdr:rowOff>
    </xdr:to>
    <xdr:sp macro="" textlink="">
      <xdr:nvSpPr>
        <xdr:cNvPr id="2" name="Rectangle 1">
          <a:extLst>
            <a:ext uri="{FF2B5EF4-FFF2-40B4-BE49-F238E27FC236}">
              <a16:creationId xmlns:a16="http://schemas.microsoft.com/office/drawing/2014/main" id="{054403ED-166A-4682-9C96-C8CAEFB9D98F}"/>
            </a:ext>
          </a:extLst>
        </xdr:cNvPr>
        <xdr:cNvSpPr/>
      </xdr:nvSpPr>
      <xdr:spPr>
        <a:xfrm>
          <a:off x="266700" y="101600"/>
          <a:ext cx="4870450" cy="40132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Observation</a:t>
          </a:r>
        </a:p>
        <a:p>
          <a:pPr algn="l"/>
          <a:r>
            <a:rPr lang="en-GB" sz="1100">
              <a:solidFill>
                <a:schemeClr val="bg1"/>
              </a:solidFill>
            </a:rPr>
            <a:t>- The most populated</a:t>
          </a:r>
          <a:r>
            <a:rPr lang="en-GB" sz="1100" baseline="0">
              <a:solidFill>
                <a:schemeClr val="bg1"/>
              </a:solidFill>
            </a:rPr>
            <a:t> country in the year 2024 was India, which is in the Asian region. The Asian region also recorded as the region with the highest population the same year, with a record of 4772010067.</a:t>
          </a:r>
        </a:p>
        <a:p>
          <a:pPr algn="l"/>
          <a:r>
            <a:rPr lang="en-GB" sz="1100" baseline="0">
              <a:solidFill>
                <a:schemeClr val="bg1"/>
              </a:solidFill>
            </a:rPr>
            <a:t>- Tuvalu had the lowest population</a:t>
          </a:r>
        </a:p>
        <a:p>
          <a:pPr algn="l"/>
          <a:r>
            <a:rPr lang="en-GB" sz="1100" baseline="0">
              <a:solidFill>
                <a:schemeClr val="bg1"/>
              </a:solidFill>
            </a:rPr>
            <a:t>- Average population in 2024 was at 37413103.9</a:t>
          </a:r>
        </a:p>
        <a:p>
          <a:pPr algn="l"/>
          <a:r>
            <a:rPr lang="en-GB" sz="1100" baseline="0">
              <a:solidFill>
                <a:schemeClr val="bg1"/>
              </a:solidFill>
            </a:rPr>
            <a:t>- Africa had the second populous region with 1513319287, followed by Europe, North America, South America and Oceania</a:t>
          </a:r>
        </a:p>
        <a:p>
          <a:pPr algn="l"/>
          <a:r>
            <a:rPr lang="en-GB" sz="1100" baseline="0">
              <a:solidFill>
                <a:schemeClr val="bg1"/>
              </a:solidFill>
            </a:rPr>
            <a:t>- For Avg annual growth rate by region shows Africa having a 2.40% as seen with them being the second most populous region, followed by 1.86% by Asia, South America has 1.14%, North America had 1.07%, Oceania had 0.96% and Europe had 0.21%</a:t>
          </a:r>
        </a:p>
        <a:p>
          <a:pPr algn="l"/>
          <a:r>
            <a:rPr lang="en-GB" sz="1100" baseline="0">
              <a:solidFill>
                <a:schemeClr val="bg1"/>
              </a:solidFill>
            </a:rPr>
            <a:t>- Growth rate % from 1990 - 2024 by countries has Qatar at 549.25, UAE at 473.01, Equitorial Guinea at 299.03, Turks and Caicos at 298.14 and Afghanistan at 254.05</a:t>
          </a:r>
        </a:p>
        <a:p>
          <a:pPr algn="l"/>
          <a:r>
            <a:rPr lang="en-GB" sz="1100" baseline="0">
              <a:solidFill>
                <a:schemeClr val="bg1"/>
              </a:solidFill>
            </a:rPr>
            <a:t>- For Regional Percentage in 2024 shows Asia contributes 59%, Africa 19%, Europe 9%, North America 7%, South America 5% and Oceania 1%</a:t>
          </a:r>
        </a:p>
        <a:p>
          <a:pPr algn="l"/>
          <a:r>
            <a:rPr lang="en-GB" sz="1100" baseline="0">
              <a:solidFill>
                <a:schemeClr val="bg1"/>
              </a:solidFill>
            </a:rPr>
            <a:t>- Countries with Decline in Growth % has Latvia at -30.07, Bosnia &amp; Herzego vina at -28.87, Ukraine at -27.27, Bulgaria at 26.08 and Georgia at -23.49. Ukraine's can be attributed to the ongoing war in the country.</a:t>
          </a:r>
          <a:endParaRPr lang="en-NG" sz="1100">
            <a:solidFill>
              <a:schemeClr val="bg1"/>
            </a:solidFill>
          </a:endParaRPr>
        </a:p>
      </xdr:txBody>
    </xdr:sp>
    <xdr:clientData/>
  </xdr:twoCellAnchor>
  <xdr:twoCellAnchor>
    <xdr:from>
      <xdr:col>8</xdr:col>
      <xdr:colOff>508000</xdr:colOff>
      <xdr:row>0</xdr:row>
      <xdr:rowOff>107950</xdr:rowOff>
    </xdr:from>
    <xdr:to>
      <xdr:col>16</xdr:col>
      <xdr:colOff>501650</xdr:colOff>
      <xdr:row>33</xdr:row>
      <xdr:rowOff>88900</xdr:rowOff>
    </xdr:to>
    <xdr:sp macro="" textlink="">
      <xdr:nvSpPr>
        <xdr:cNvPr id="3" name="Rectangle 2">
          <a:extLst>
            <a:ext uri="{FF2B5EF4-FFF2-40B4-BE49-F238E27FC236}">
              <a16:creationId xmlns:a16="http://schemas.microsoft.com/office/drawing/2014/main" id="{372997AD-C052-43B1-8658-ABAE60E6DE75}"/>
            </a:ext>
          </a:extLst>
        </xdr:cNvPr>
        <xdr:cNvSpPr/>
      </xdr:nvSpPr>
      <xdr:spPr>
        <a:xfrm>
          <a:off x="5384800" y="107950"/>
          <a:ext cx="4870450" cy="60579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accent1">
                  <a:lumMod val="50000"/>
                </a:schemeClr>
              </a:solidFill>
            </a:rPr>
            <a:t>Pre-Insight</a:t>
          </a:r>
        </a:p>
        <a:p>
          <a:r>
            <a:rPr lang="en-GB" sz="1100">
              <a:solidFill>
                <a:schemeClr val="accent1">
                  <a:lumMod val="50000"/>
                </a:schemeClr>
              </a:solidFill>
            </a:rPr>
            <a:t>- </a:t>
          </a:r>
          <a:r>
            <a:rPr lang="en-GB" b="1">
              <a:solidFill>
                <a:schemeClr val="accent1">
                  <a:lumMod val="50000"/>
                </a:schemeClr>
              </a:solidFill>
            </a:rPr>
            <a:t>Asia’s Dominance Reflects Global Demographic Concentration</a:t>
          </a:r>
        </a:p>
        <a:p>
          <a:r>
            <a:rPr lang="en-GB">
              <a:solidFill>
                <a:schemeClr val="accent1">
                  <a:lumMod val="50000"/>
                </a:schemeClr>
              </a:solidFill>
            </a:rPr>
            <a:t>Asia not only hosts the world’s most populated country (India) but also contributes nearly </a:t>
          </a:r>
          <a:r>
            <a:rPr lang="en-GB" b="0">
              <a:solidFill>
                <a:schemeClr val="accent1">
                  <a:lumMod val="50000"/>
                </a:schemeClr>
              </a:solidFill>
            </a:rPr>
            <a:t>59% of the global population. The large population base provides both economic opportunity (labor force, markets) and developmental pressure (urbanization, resource demand).</a:t>
          </a:r>
        </a:p>
        <a:p>
          <a:r>
            <a:rPr lang="en-GB" b="0">
              <a:solidFill>
                <a:schemeClr val="accent1">
                  <a:lumMod val="50000"/>
                </a:schemeClr>
              </a:solidFill>
            </a:rPr>
            <a:t>- </a:t>
          </a:r>
          <a:r>
            <a:rPr lang="en-GB" b="1">
              <a:solidFill>
                <a:schemeClr val="accent1">
                  <a:lumMod val="50000"/>
                </a:schemeClr>
              </a:solidFill>
            </a:rPr>
            <a:t>Africa’s Rapid Growth Points to a Demographic Surge</a:t>
          </a:r>
        </a:p>
        <a:p>
          <a:r>
            <a:rPr lang="en-GB">
              <a:solidFill>
                <a:schemeClr val="accent1">
                  <a:lumMod val="50000"/>
                </a:schemeClr>
              </a:solidFill>
            </a:rPr>
            <a:t>With an </a:t>
          </a:r>
          <a:r>
            <a:rPr lang="en-GB" b="0">
              <a:solidFill>
                <a:schemeClr val="accent1">
                  <a:lumMod val="50000"/>
                </a:schemeClr>
              </a:solidFill>
            </a:rPr>
            <a:t>average annual growth rate of 2.40%, Africa is the fastest-growing region globally.</a:t>
          </a:r>
        </a:p>
        <a:p>
          <a:r>
            <a:rPr lang="en-GB" b="0">
              <a:solidFill>
                <a:schemeClr val="accent1">
                  <a:lumMod val="50000"/>
                </a:schemeClr>
              </a:solidFill>
            </a:rPr>
            <a:t>Despite being second in total population, its high growth rate signals a youthful population structure and high fertility rates.</a:t>
          </a:r>
        </a:p>
        <a:p>
          <a:r>
            <a:rPr lang="en-GB">
              <a:solidFill>
                <a:schemeClr val="accent1">
                  <a:lumMod val="50000"/>
                </a:schemeClr>
              </a:solidFill>
            </a:rPr>
            <a:t>If sustained, Africa’s demographic expansion could reshape global labor and consumer markets in the coming decades.</a:t>
          </a:r>
        </a:p>
        <a:p>
          <a:r>
            <a:rPr lang="en-GB">
              <a:solidFill>
                <a:schemeClr val="accent1">
                  <a:lumMod val="50000"/>
                </a:schemeClr>
              </a:solidFill>
            </a:rPr>
            <a:t>- </a:t>
          </a:r>
          <a:r>
            <a:rPr lang="en-GB" b="1">
              <a:solidFill>
                <a:schemeClr val="accent1">
                  <a:lumMod val="50000"/>
                </a:schemeClr>
              </a:solidFill>
            </a:rPr>
            <a:t>Europe’s Population Stagnation Signals Aging and Decline</a:t>
          </a:r>
        </a:p>
        <a:p>
          <a:r>
            <a:rPr lang="en-GB">
              <a:solidFill>
                <a:schemeClr val="accent1">
                  <a:lumMod val="50000"/>
                </a:schemeClr>
              </a:solidFill>
            </a:rPr>
            <a:t>Europe’s </a:t>
          </a:r>
          <a:r>
            <a:rPr lang="en-GB" b="0">
              <a:solidFill>
                <a:schemeClr val="accent1">
                  <a:lumMod val="50000"/>
                </a:schemeClr>
              </a:solidFill>
            </a:rPr>
            <a:t>very low growth rate (0.21%) and 9% global population share indicate stagnation.</a:t>
          </a:r>
        </a:p>
        <a:p>
          <a:r>
            <a:rPr lang="en-GB" b="0">
              <a:solidFill>
                <a:schemeClr val="accent1">
                  <a:lumMod val="50000"/>
                </a:schemeClr>
              </a:solidFill>
            </a:rPr>
            <a:t>Several countries (e.g., Latvia, Bosnia, Ukraine, Bulgaria, Georgia) show population decline, pointing to aging populations, low fertility, and emigration.</a:t>
          </a:r>
        </a:p>
        <a:p>
          <a:r>
            <a:rPr lang="en-GB" b="0">
              <a:solidFill>
                <a:schemeClr val="accent1">
                  <a:lumMod val="50000"/>
                </a:schemeClr>
              </a:solidFill>
            </a:rPr>
            <a:t>The decline in Ukraine aligns with ongoing conflict-driven displacement, highlighting how socio-political instability impacts demographic </a:t>
          </a:r>
          <a:r>
            <a:rPr lang="en-GB">
              <a:solidFill>
                <a:schemeClr val="accent1">
                  <a:lumMod val="50000"/>
                </a:schemeClr>
              </a:solidFill>
            </a:rPr>
            <a:t>trends.</a:t>
          </a:r>
        </a:p>
        <a:p>
          <a:r>
            <a:rPr lang="en-GB">
              <a:solidFill>
                <a:schemeClr val="accent1">
                  <a:lumMod val="50000"/>
                </a:schemeClr>
              </a:solidFill>
            </a:rPr>
            <a:t>- </a:t>
          </a:r>
          <a:r>
            <a:rPr lang="en-GB" b="1">
              <a:solidFill>
                <a:schemeClr val="accent1">
                  <a:lumMod val="50000"/>
                </a:schemeClr>
              </a:solidFill>
            </a:rPr>
            <a:t>Emerging Economies in the Middle East Lead in Growth Rates</a:t>
          </a:r>
        </a:p>
        <a:p>
          <a:r>
            <a:rPr lang="en-GB">
              <a:solidFill>
                <a:schemeClr val="accent1">
                  <a:lumMod val="50000"/>
                </a:schemeClr>
              </a:solidFill>
            </a:rPr>
            <a:t>Countries like </a:t>
          </a:r>
          <a:r>
            <a:rPr lang="en-GB" b="0">
              <a:solidFill>
                <a:schemeClr val="accent1">
                  <a:lumMod val="50000"/>
                </a:schemeClr>
              </a:solidFill>
            </a:rPr>
            <a:t>Qatar (+549%), UAE (+473%), and Equatorial Guinea (+299%) record exceptional growth between 1990 and 2024.</a:t>
          </a:r>
        </a:p>
        <a:p>
          <a:r>
            <a:rPr lang="en-GB" b="0">
              <a:solidFill>
                <a:schemeClr val="accent1">
                  <a:lumMod val="50000"/>
                </a:schemeClr>
              </a:solidFill>
            </a:rPr>
            <a:t>This reflects economic-driven migration, oil-fueled prosperity, and influxes of expatriate workers rather than natural population growth </a:t>
          </a:r>
          <a:r>
            <a:rPr lang="en-GB">
              <a:solidFill>
                <a:schemeClr val="accent1">
                  <a:lumMod val="50000"/>
                </a:schemeClr>
              </a:solidFill>
            </a:rPr>
            <a:t>alone.</a:t>
          </a:r>
        </a:p>
        <a:p>
          <a:r>
            <a:rPr lang="en-GB">
              <a:solidFill>
                <a:schemeClr val="accent1">
                  <a:lumMod val="50000"/>
                </a:schemeClr>
              </a:solidFill>
            </a:rPr>
            <a:t>- </a:t>
          </a:r>
          <a:r>
            <a:rPr lang="en-GB" b="1">
              <a:solidFill>
                <a:schemeClr val="accent1">
                  <a:lumMod val="50000"/>
                </a:schemeClr>
              </a:solidFill>
            </a:rPr>
            <a:t>The Americas Show Moderate but Stable Growth</a:t>
          </a:r>
        </a:p>
        <a:p>
          <a:r>
            <a:rPr lang="en-GB">
              <a:solidFill>
                <a:schemeClr val="accent1">
                  <a:lumMod val="50000"/>
                </a:schemeClr>
              </a:solidFill>
            </a:rPr>
            <a:t>North and South America maintain steady growth (≈1%) with combined contributions around </a:t>
          </a:r>
          <a:r>
            <a:rPr lang="en-GB" b="0">
              <a:solidFill>
                <a:schemeClr val="accent1">
                  <a:lumMod val="50000"/>
                </a:schemeClr>
              </a:solidFill>
            </a:rPr>
            <a:t>12% of the world’s population.</a:t>
          </a:r>
        </a:p>
        <a:p>
          <a:r>
            <a:rPr lang="en-GB" b="0">
              <a:solidFill>
                <a:schemeClr val="accent1">
                  <a:lumMod val="50000"/>
                </a:schemeClr>
              </a:solidFill>
            </a:rPr>
            <a:t>These regions show population stability supported by migration and balanced fertility, avoiding the extremes of rapid expansion or contraction.</a:t>
          </a:r>
        </a:p>
        <a:p>
          <a:r>
            <a:rPr lang="en-GB" b="0">
              <a:solidFill>
                <a:schemeClr val="accent1">
                  <a:lumMod val="50000"/>
                </a:schemeClr>
              </a:solidFill>
            </a:rPr>
            <a:t>- </a:t>
          </a:r>
          <a:r>
            <a:rPr lang="en-GB" b="1">
              <a:solidFill>
                <a:schemeClr val="accent1">
                  <a:lumMod val="50000"/>
                </a:schemeClr>
              </a:solidFill>
            </a:rPr>
            <a:t>Oceania’s Minimal Share Reflects Small Population Base</a:t>
          </a:r>
        </a:p>
        <a:p>
          <a:r>
            <a:rPr lang="en-GB">
              <a:solidFill>
                <a:schemeClr val="accent1">
                  <a:lumMod val="50000"/>
                </a:schemeClr>
              </a:solidFill>
            </a:rPr>
            <a:t>Oceania contributes just </a:t>
          </a:r>
          <a:r>
            <a:rPr lang="en-GB" b="0">
              <a:solidFill>
                <a:schemeClr val="accent1">
                  <a:lumMod val="50000"/>
                </a:schemeClr>
              </a:solidFill>
            </a:rPr>
            <a:t>1% to global population totals.</a:t>
          </a:r>
        </a:p>
        <a:p>
          <a:r>
            <a:rPr lang="en-GB" b="0">
              <a:solidFill>
                <a:schemeClr val="accent1">
                  <a:lumMod val="50000"/>
                </a:schemeClr>
              </a:solidFill>
            </a:rPr>
            <a:t>Its modest 0.96% annual growth rate indicates gradual expansion, mostly from immigration into countries like Australia and New Zealand.</a:t>
          </a:r>
        </a:p>
        <a:p>
          <a:endParaRPr lang="en-GB" b="0">
            <a:solidFill>
              <a:schemeClr val="accent1">
                <a:lumMod val="50000"/>
              </a:schemeClr>
            </a:solidFill>
          </a:endParaRPr>
        </a:p>
        <a:p>
          <a:endParaRPr lang="en-GB">
            <a:solidFill>
              <a:schemeClr val="accent1">
                <a:lumMod val="50000"/>
              </a:schemeClr>
            </a:solidFill>
          </a:endParaRPr>
        </a:p>
        <a:p>
          <a:endParaRPr lang="en-GB">
            <a:solidFill>
              <a:schemeClr val="accent1">
                <a:lumMod val="50000"/>
              </a:schemeClr>
            </a:solidFill>
          </a:endParaRPr>
        </a:p>
        <a:p>
          <a:endParaRPr lang="en-GB">
            <a:solidFill>
              <a:schemeClr val="accent1">
                <a:lumMod val="50000"/>
              </a:schemeClr>
            </a:solidFill>
          </a:endParaRPr>
        </a:p>
        <a:p>
          <a:endParaRPr lang="en-GB" b="0">
            <a:solidFill>
              <a:schemeClr val="accent1">
                <a:lumMod val="50000"/>
              </a:schemeClr>
            </a:solidFill>
          </a:endParaRPr>
        </a:p>
        <a:p>
          <a:pPr algn="l"/>
          <a:endParaRPr lang="en-NG" sz="1100">
            <a:solidFill>
              <a:schemeClr val="accent1">
                <a:lumMod val="50000"/>
              </a:schemeClr>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292100</xdr:colOff>
      <xdr:row>0</xdr:row>
      <xdr:rowOff>120650</xdr:rowOff>
    </xdr:from>
    <xdr:to>
      <xdr:col>23</xdr:col>
      <xdr:colOff>54429</xdr:colOff>
      <xdr:row>3</xdr:row>
      <xdr:rowOff>6350</xdr:rowOff>
    </xdr:to>
    <xdr:sp macro="" textlink="">
      <xdr:nvSpPr>
        <xdr:cNvPr id="6" name="Rectangle: Rounded Corners 5">
          <a:extLst>
            <a:ext uri="{FF2B5EF4-FFF2-40B4-BE49-F238E27FC236}">
              <a16:creationId xmlns:a16="http://schemas.microsoft.com/office/drawing/2014/main" id="{8F3C0F6C-66A8-4AE6-B684-9740A6645B97}"/>
            </a:ext>
          </a:extLst>
        </xdr:cNvPr>
        <xdr:cNvSpPr/>
      </xdr:nvSpPr>
      <xdr:spPr>
        <a:xfrm>
          <a:off x="292100" y="120650"/>
          <a:ext cx="13741400" cy="429986"/>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292099</xdr:colOff>
      <xdr:row>3</xdr:row>
      <xdr:rowOff>107949</xdr:rowOff>
    </xdr:from>
    <xdr:to>
      <xdr:col>4</xdr:col>
      <xdr:colOff>371927</xdr:colOff>
      <xdr:row>9</xdr:row>
      <xdr:rowOff>0</xdr:rowOff>
    </xdr:to>
    <xdr:sp macro="" textlink="">
      <xdr:nvSpPr>
        <xdr:cNvPr id="7" name="Rectangle: Rounded Corners 6">
          <a:extLst>
            <a:ext uri="{FF2B5EF4-FFF2-40B4-BE49-F238E27FC236}">
              <a16:creationId xmlns:a16="http://schemas.microsoft.com/office/drawing/2014/main" id="{65F97334-0272-42CF-8841-B8F68F6912B9}"/>
            </a:ext>
          </a:extLst>
        </xdr:cNvPr>
        <xdr:cNvSpPr/>
      </xdr:nvSpPr>
      <xdr:spPr>
        <a:xfrm>
          <a:off x="292099" y="652235"/>
          <a:ext cx="2510971" cy="980622"/>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442233</xdr:colOff>
      <xdr:row>3</xdr:row>
      <xdr:rowOff>127000</xdr:rowOff>
    </xdr:from>
    <xdr:to>
      <xdr:col>9</xdr:col>
      <xdr:colOff>27215</xdr:colOff>
      <xdr:row>9</xdr:row>
      <xdr:rowOff>9072</xdr:rowOff>
    </xdr:to>
    <xdr:sp macro="" textlink="">
      <xdr:nvSpPr>
        <xdr:cNvPr id="8" name="Rectangle: Rounded Corners 7">
          <a:extLst>
            <a:ext uri="{FF2B5EF4-FFF2-40B4-BE49-F238E27FC236}">
              <a16:creationId xmlns:a16="http://schemas.microsoft.com/office/drawing/2014/main" id="{93722D21-4F24-457D-95D1-BC3173C1CDBF}"/>
            </a:ext>
          </a:extLst>
        </xdr:cNvPr>
        <xdr:cNvSpPr/>
      </xdr:nvSpPr>
      <xdr:spPr>
        <a:xfrm>
          <a:off x="2873376" y="671286"/>
          <a:ext cx="2623910" cy="970643"/>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126999</xdr:colOff>
      <xdr:row>3</xdr:row>
      <xdr:rowOff>131080</xdr:rowOff>
    </xdr:from>
    <xdr:to>
      <xdr:col>13</xdr:col>
      <xdr:colOff>426355</xdr:colOff>
      <xdr:row>9</xdr:row>
      <xdr:rowOff>18142</xdr:rowOff>
    </xdr:to>
    <xdr:sp macro="" textlink="">
      <xdr:nvSpPr>
        <xdr:cNvPr id="9" name="Rectangle: Rounded Corners 8">
          <a:extLst>
            <a:ext uri="{FF2B5EF4-FFF2-40B4-BE49-F238E27FC236}">
              <a16:creationId xmlns:a16="http://schemas.microsoft.com/office/drawing/2014/main" id="{41C68B1C-85A5-4A11-BF7B-5E1C348B3692}"/>
            </a:ext>
          </a:extLst>
        </xdr:cNvPr>
        <xdr:cNvSpPr/>
      </xdr:nvSpPr>
      <xdr:spPr>
        <a:xfrm>
          <a:off x="5597070" y="675366"/>
          <a:ext cx="2730499" cy="975633"/>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535215</xdr:colOff>
      <xdr:row>3</xdr:row>
      <xdr:rowOff>124733</xdr:rowOff>
    </xdr:from>
    <xdr:to>
      <xdr:col>18</xdr:col>
      <xdr:colOff>381000</xdr:colOff>
      <xdr:row>9</xdr:row>
      <xdr:rowOff>36286</xdr:rowOff>
    </xdr:to>
    <xdr:sp macro="" textlink="">
      <xdr:nvSpPr>
        <xdr:cNvPr id="10" name="Rectangle: Rounded Corners 9">
          <a:extLst>
            <a:ext uri="{FF2B5EF4-FFF2-40B4-BE49-F238E27FC236}">
              <a16:creationId xmlns:a16="http://schemas.microsoft.com/office/drawing/2014/main" id="{51048E12-B27B-482D-BC12-9FCD5E093465}"/>
            </a:ext>
          </a:extLst>
        </xdr:cNvPr>
        <xdr:cNvSpPr/>
      </xdr:nvSpPr>
      <xdr:spPr>
        <a:xfrm>
          <a:off x="8436429" y="669019"/>
          <a:ext cx="2884714" cy="1000124"/>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279399</xdr:colOff>
      <xdr:row>9</xdr:row>
      <xdr:rowOff>117929</xdr:rowOff>
    </xdr:from>
    <xdr:to>
      <xdr:col>12</xdr:col>
      <xdr:colOff>417285</xdr:colOff>
      <xdr:row>23</xdr:row>
      <xdr:rowOff>0</xdr:rowOff>
    </xdr:to>
    <xdr:sp macro="" textlink="">
      <xdr:nvSpPr>
        <xdr:cNvPr id="11" name="Rectangle: Rounded Corners 10">
          <a:extLst>
            <a:ext uri="{FF2B5EF4-FFF2-40B4-BE49-F238E27FC236}">
              <a16:creationId xmlns:a16="http://schemas.microsoft.com/office/drawing/2014/main" id="{F14A1586-5581-437D-9613-3A7589FA975E}"/>
            </a:ext>
          </a:extLst>
        </xdr:cNvPr>
        <xdr:cNvSpPr/>
      </xdr:nvSpPr>
      <xdr:spPr>
        <a:xfrm>
          <a:off x="279399" y="1750786"/>
          <a:ext cx="7431315" cy="2422071"/>
        </a:xfrm>
        <a:prstGeom prst="roundRect">
          <a:avLst>
            <a:gd name="adj" fmla="val 743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527955</xdr:colOff>
      <xdr:row>9</xdr:row>
      <xdr:rowOff>145144</xdr:rowOff>
    </xdr:from>
    <xdr:to>
      <xdr:col>23</xdr:col>
      <xdr:colOff>45358</xdr:colOff>
      <xdr:row>23</xdr:row>
      <xdr:rowOff>27215</xdr:rowOff>
    </xdr:to>
    <xdr:sp macro="" textlink="">
      <xdr:nvSpPr>
        <xdr:cNvPr id="13" name="Rectangle: Rounded Corners 12">
          <a:extLst>
            <a:ext uri="{FF2B5EF4-FFF2-40B4-BE49-F238E27FC236}">
              <a16:creationId xmlns:a16="http://schemas.microsoft.com/office/drawing/2014/main" id="{EB77A18E-A731-4225-9BF1-2DAD83D90416}"/>
            </a:ext>
          </a:extLst>
        </xdr:cNvPr>
        <xdr:cNvSpPr/>
      </xdr:nvSpPr>
      <xdr:spPr>
        <a:xfrm>
          <a:off x="7821384" y="1778001"/>
          <a:ext cx="6203045" cy="2422071"/>
        </a:xfrm>
        <a:prstGeom prst="roundRect">
          <a:avLst>
            <a:gd name="adj" fmla="val 743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308428</xdr:colOff>
      <xdr:row>23</xdr:row>
      <xdr:rowOff>127000</xdr:rowOff>
    </xdr:from>
    <xdr:to>
      <xdr:col>6</xdr:col>
      <xdr:colOff>580572</xdr:colOff>
      <xdr:row>36</xdr:row>
      <xdr:rowOff>99785</xdr:rowOff>
    </xdr:to>
    <xdr:sp macro="" textlink="">
      <xdr:nvSpPr>
        <xdr:cNvPr id="15" name="Rectangle: Rounded Corners 14">
          <a:extLst>
            <a:ext uri="{FF2B5EF4-FFF2-40B4-BE49-F238E27FC236}">
              <a16:creationId xmlns:a16="http://schemas.microsoft.com/office/drawing/2014/main" id="{5E65CFCE-6E12-4B55-87E5-DFA9101004EF}"/>
            </a:ext>
          </a:extLst>
        </xdr:cNvPr>
        <xdr:cNvSpPr/>
      </xdr:nvSpPr>
      <xdr:spPr>
        <a:xfrm>
          <a:off x="308428" y="4299857"/>
          <a:ext cx="3918858" cy="2331357"/>
        </a:xfrm>
        <a:prstGeom prst="roundRect">
          <a:avLst>
            <a:gd name="adj" fmla="val 743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33</xdr:row>
      <xdr:rowOff>69850</xdr:rowOff>
    </xdr:from>
    <xdr:to>
      <xdr:col>0</xdr:col>
      <xdr:colOff>0</xdr:colOff>
      <xdr:row>45</xdr:row>
      <xdr:rowOff>50800</xdr:rowOff>
    </xdr:to>
    <xdr:sp macro="" textlink="">
      <xdr:nvSpPr>
        <xdr:cNvPr id="16" name="Rectangle: Rounded Corners 15">
          <a:extLst>
            <a:ext uri="{FF2B5EF4-FFF2-40B4-BE49-F238E27FC236}">
              <a16:creationId xmlns:a16="http://schemas.microsoft.com/office/drawing/2014/main" id="{52AB5212-ED2B-473F-BF0B-302FEDEEA4D3}"/>
            </a:ext>
          </a:extLst>
        </xdr:cNvPr>
        <xdr:cNvSpPr/>
      </xdr:nvSpPr>
      <xdr:spPr>
        <a:xfrm>
          <a:off x="0" y="6146800"/>
          <a:ext cx="0" cy="2190750"/>
        </a:xfrm>
        <a:prstGeom prst="roundRect">
          <a:avLst>
            <a:gd name="adj" fmla="val 7431"/>
          </a:avLst>
        </a:prstGeom>
        <a:solidFill>
          <a:schemeClr val="bg1">
            <a:lumMod val="9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90715</xdr:colOff>
      <xdr:row>23</xdr:row>
      <xdr:rowOff>136072</xdr:rowOff>
    </xdr:from>
    <xdr:to>
      <xdr:col>13</xdr:col>
      <xdr:colOff>390073</xdr:colOff>
      <xdr:row>36</xdr:row>
      <xdr:rowOff>108858</xdr:rowOff>
    </xdr:to>
    <xdr:sp macro="" textlink="">
      <xdr:nvSpPr>
        <xdr:cNvPr id="17" name="Rectangle: Rounded Corners 16">
          <a:extLst>
            <a:ext uri="{FF2B5EF4-FFF2-40B4-BE49-F238E27FC236}">
              <a16:creationId xmlns:a16="http://schemas.microsoft.com/office/drawing/2014/main" id="{54CAFAC4-A1C6-457F-B68C-CFF294309912}"/>
            </a:ext>
          </a:extLst>
        </xdr:cNvPr>
        <xdr:cNvSpPr/>
      </xdr:nvSpPr>
      <xdr:spPr>
        <a:xfrm>
          <a:off x="4345215" y="4308929"/>
          <a:ext cx="3946072" cy="2331358"/>
        </a:xfrm>
        <a:prstGeom prst="roundRect">
          <a:avLst>
            <a:gd name="adj" fmla="val 743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497113</xdr:colOff>
      <xdr:row>23</xdr:row>
      <xdr:rowOff>145144</xdr:rowOff>
    </xdr:from>
    <xdr:to>
      <xdr:col>23</xdr:col>
      <xdr:colOff>81642</xdr:colOff>
      <xdr:row>36</xdr:row>
      <xdr:rowOff>117929</xdr:rowOff>
    </xdr:to>
    <xdr:sp macro="" textlink="">
      <xdr:nvSpPr>
        <xdr:cNvPr id="18" name="Rectangle: Rounded Corners 17">
          <a:extLst>
            <a:ext uri="{FF2B5EF4-FFF2-40B4-BE49-F238E27FC236}">
              <a16:creationId xmlns:a16="http://schemas.microsoft.com/office/drawing/2014/main" id="{20574D74-A231-4C19-B34A-4C1A4F0C3505}"/>
            </a:ext>
          </a:extLst>
        </xdr:cNvPr>
        <xdr:cNvSpPr/>
      </xdr:nvSpPr>
      <xdr:spPr>
        <a:xfrm>
          <a:off x="8398327" y="4318001"/>
          <a:ext cx="5662386" cy="2331357"/>
        </a:xfrm>
        <a:prstGeom prst="roundRect">
          <a:avLst>
            <a:gd name="adj" fmla="val 743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571500</xdr:colOff>
      <xdr:row>12</xdr:row>
      <xdr:rowOff>18143</xdr:rowOff>
    </xdr:from>
    <xdr:to>
      <xdr:col>22</xdr:col>
      <xdr:colOff>571500</xdr:colOff>
      <xdr:row>23</xdr:row>
      <xdr:rowOff>0</xdr:rowOff>
    </xdr:to>
    <xdr:graphicFrame macro="">
      <xdr:nvGraphicFramePr>
        <xdr:cNvPr id="19" name="Chart 18">
          <a:extLst>
            <a:ext uri="{FF2B5EF4-FFF2-40B4-BE49-F238E27FC236}">
              <a16:creationId xmlns:a16="http://schemas.microsoft.com/office/drawing/2014/main" id="{E6614E2F-F4E0-4BF6-A856-527D31D6B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589642</xdr:colOff>
      <xdr:row>10</xdr:row>
      <xdr:rowOff>30162</xdr:rowOff>
    </xdr:from>
    <xdr:to>
      <xdr:col>19</xdr:col>
      <xdr:colOff>13606</xdr:colOff>
      <xdr:row>11</xdr:row>
      <xdr:rowOff>117929</xdr:rowOff>
    </xdr:to>
    <xdr:sp macro="" textlink="">
      <xdr:nvSpPr>
        <xdr:cNvPr id="20" name="TextBox 19">
          <a:extLst>
            <a:ext uri="{FF2B5EF4-FFF2-40B4-BE49-F238E27FC236}">
              <a16:creationId xmlns:a16="http://schemas.microsoft.com/office/drawing/2014/main" id="{B15ADEF9-BC13-4F31-9620-883B5BBB069F}"/>
            </a:ext>
          </a:extLst>
        </xdr:cNvPr>
        <xdr:cNvSpPr txBox="1"/>
      </xdr:nvSpPr>
      <xdr:spPr>
        <a:xfrm>
          <a:off x="7883071" y="1844448"/>
          <a:ext cx="3678464" cy="269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accent1">
                  <a:lumMod val="50000"/>
                </a:schemeClr>
              </a:solidFill>
              <a:latin typeface="Bodoni MT" panose="02070603080606020203" pitchFamily="18" charset="0"/>
            </a:rPr>
            <a:t>Avg Annual</a:t>
          </a:r>
          <a:r>
            <a:rPr lang="en-GB" sz="1400" baseline="0">
              <a:solidFill>
                <a:schemeClr val="accent1">
                  <a:lumMod val="50000"/>
                </a:schemeClr>
              </a:solidFill>
              <a:latin typeface="Bodoni MT" panose="02070603080606020203" pitchFamily="18" charset="0"/>
            </a:rPr>
            <a:t> Growth Rate by Region</a:t>
          </a:r>
          <a:endParaRPr lang="en-NG" sz="1400">
            <a:solidFill>
              <a:schemeClr val="accent1">
                <a:lumMod val="50000"/>
              </a:schemeClr>
            </a:solidFill>
            <a:latin typeface="Bodoni MT" panose="02070603080606020203" pitchFamily="18" charset="0"/>
          </a:endParaRPr>
        </a:p>
      </xdr:txBody>
    </xdr:sp>
    <xdr:clientData/>
  </xdr:twoCellAnchor>
  <xdr:twoCellAnchor>
    <xdr:from>
      <xdr:col>0</xdr:col>
      <xdr:colOff>326573</xdr:colOff>
      <xdr:row>12</xdr:row>
      <xdr:rowOff>9072</xdr:rowOff>
    </xdr:from>
    <xdr:to>
      <xdr:col>12</xdr:col>
      <xdr:colOff>335642</xdr:colOff>
      <xdr:row>22</xdr:row>
      <xdr:rowOff>145142</xdr:rowOff>
    </xdr:to>
    <xdr:graphicFrame macro="">
      <xdr:nvGraphicFramePr>
        <xdr:cNvPr id="21" name="Chart 20">
          <a:extLst>
            <a:ext uri="{FF2B5EF4-FFF2-40B4-BE49-F238E27FC236}">
              <a16:creationId xmlns:a16="http://schemas.microsoft.com/office/drawing/2014/main" id="{220D69E3-E811-47C4-BAE7-2415861D7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326572</xdr:colOff>
      <xdr:row>10</xdr:row>
      <xdr:rowOff>12020</xdr:rowOff>
    </xdr:from>
    <xdr:to>
      <xdr:col>6</xdr:col>
      <xdr:colOff>358322</xdr:colOff>
      <xdr:row>11</xdr:row>
      <xdr:rowOff>99787</xdr:rowOff>
    </xdr:to>
    <xdr:sp macro="" textlink="">
      <xdr:nvSpPr>
        <xdr:cNvPr id="22" name="TextBox 21">
          <a:extLst>
            <a:ext uri="{FF2B5EF4-FFF2-40B4-BE49-F238E27FC236}">
              <a16:creationId xmlns:a16="http://schemas.microsoft.com/office/drawing/2014/main" id="{14210BF7-EA3B-49AE-9D02-57775696FC47}"/>
            </a:ext>
          </a:extLst>
        </xdr:cNvPr>
        <xdr:cNvSpPr txBox="1"/>
      </xdr:nvSpPr>
      <xdr:spPr>
        <a:xfrm>
          <a:off x="326572" y="1826306"/>
          <a:ext cx="3678464" cy="269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accent1">
                  <a:lumMod val="50000"/>
                </a:schemeClr>
              </a:solidFill>
              <a:latin typeface="Bodoni MT" panose="02070603080606020203" pitchFamily="18" charset="0"/>
            </a:rPr>
            <a:t>Region</a:t>
          </a:r>
          <a:r>
            <a:rPr lang="en-GB" sz="1400" baseline="0">
              <a:solidFill>
                <a:schemeClr val="accent1">
                  <a:lumMod val="50000"/>
                </a:schemeClr>
              </a:solidFill>
              <a:latin typeface="Bodoni MT" panose="02070603080606020203" pitchFamily="18" charset="0"/>
            </a:rPr>
            <a:t> with Highest Population in 2024</a:t>
          </a:r>
          <a:endParaRPr lang="en-NG" sz="1400">
            <a:solidFill>
              <a:schemeClr val="accent1">
                <a:lumMod val="50000"/>
              </a:schemeClr>
            </a:solidFill>
            <a:latin typeface="Bodoni MT" panose="02070603080606020203" pitchFamily="18" charset="0"/>
          </a:endParaRPr>
        </a:p>
      </xdr:txBody>
    </xdr:sp>
    <xdr:clientData/>
  </xdr:twoCellAnchor>
  <xdr:twoCellAnchor>
    <xdr:from>
      <xdr:col>0</xdr:col>
      <xdr:colOff>344714</xdr:colOff>
      <xdr:row>26</xdr:row>
      <xdr:rowOff>36286</xdr:rowOff>
    </xdr:from>
    <xdr:to>
      <xdr:col>6</xdr:col>
      <xdr:colOff>517072</xdr:colOff>
      <xdr:row>36</xdr:row>
      <xdr:rowOff>27215</xdr:rowOff>
    </xdr:to>
    <xdr:graphicFrame macro="">
      <xdr:nvGraphicFramePr>
        <xdr:cNvPr id="23" name="Chart 22">
          <a:extLst>
            <a:ext uri="{FF2B5EF4-FFF2-40B4-BE49-F238E27FC236}">
              <a16:creationId xmlns:a16="http://schemas.microsoft.com/office/drawing/2014/main" id="{B0E3E4EB-CAB5-4068-A9DE-4BCDC9197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331108</xdr:colOff>
      <xdr:row>23</xdr:row>
      <xdr:rowOff>163286</xdr:rowOff>
    </xdr:from>
    <xdr:to>
      <xdr:col>6</xdr:col>
      <xdr:colOff>90715</xdr:colOff>
      <xdr:row>25</xdr:row>
      <xdr:rowOff>81642</xdr:rowOff>
    </xdr:to>
    <xdr:sp macro="" textlink="">
      <xdr:nvSpPr>
        <xdr:cNvPr id="24" name="TextBox 23">
          <a:extLst>
            <a:ext uri="{FF2B5EF4-FFF2-40B4-BE49-F238E27FC236}">
              <a16:creationId xmlns:a16="http://schemas.microsoft.com/office/drawing/2014/main" id="{EE9DD02B-A13C-495D-B579-BF58E221983F}"/>
            </a:ext>
          </a:extLst>
        </xdr:cNvPr>
        <xdr:cNvSpPr txBox="1"/>
      </xdr:nvSpPr>
      <xdr:spPr>
        <a:xfrm>
          <a:off x="331108" y="4336143"/>
          <a:ext cx="3406321" cy="281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accent1">
                  <a:lumMod val="50000"/>
                </a:schemeClr>
              </a:solidFill>
              <a:latin typeface="Bodoni MT" panose="02070603080606020203" pitchFamily="18" charset="0"/>
            </a:rPr>
            <a:t>Growth Rate % from </a:t>
          </a:r>
          <a:r>
            <a:rPr lang="en-GB" sz="1400" baseline="0">
              <a:solidFill>
                <a:schemeClr val="accent1">
                  <a:lumMod val="50000"/>
                </a:schemeClr>
              </a:solidFill>
              <a:latin typeface="Bodoni MT" panose="02070603080606020203" pitchFamily="18" charset="0"/>
            </a:rPr>
            <a:t>1990 - 2024</a:t>
          </a:r>
          <a:endParaRPr lang="en-NG" sz="1400">
            <a:solidFill>
              <a:schemeClr val="accent1">
                <a:lumMod val="50000"/>
              </a:schemeClr>
            </a:solidFill>
            <a:latin typeface="Bodoni MT" panose="02070603080606020203" pitchFamily="18" charset="0"/>
          </a:endParaRPr>
        </a:p>
      </xdr:txBody>
    </xdr:sp>
    <xdr:clientData/>
  </xdr:twoCellAnchor>
  <xdr:twoCellAnchor>
    <xdr:from>
      <xdr:col>7</xdr:col>
      <xdr:colOff>208642</xdr:colOff>
      <xdr:row>26</xdr:row>
      <xdr:rowOff>36286</xdr:rowOff>
    </xdr:from>
    <xdr:to>
      <xdr:col>13</xdr:col>
      <xdr:colOff>317500</xdr:colOff>
      <xdr:row>36</xdr:row>
      <xdr:rowOff>54427</xdr:rowOff>
    </xdr:to>
    <xdr:graphicFrame macro="">
      <xdr:nvGraphicFramePr>
        <xdr:cNvPr id="25" name="Chart 24">
          <a:extLst>
            <a:ext uri="{FF2B5EF4-FFF2-40B4-BE49-F238E27FC236}">
              <a16:creationId xmlns:a16="http://schemas.microsoft.com/office/drawing/2014/main" id="{6D8C88BF-E003-4186-B901-7A72291A7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127001</xdr:colOff>
      <xdr:row>24</xdr:row>
      <xdr:rowOff>19956</xdr:rowOff>
    </xdr:from>
    <xdr:to>
      <xdr:col>12</xdr:col>
      <xdr:colOff>139701</xdr:colOff>
      <xdr:row>25</xdr:row>
      <xdr:rowOff>108857</xdr:rowOff>
    </xdr:to>
    <xdr:sp macro="" textlink="">
      <xdr:nvSpPr>
        <xdr:cNvPr id="26" name="TextBox 25">
          <a:extLst>
            <a:ext uri="{FF2B5EF4-FFF2-40B4-BE49-F238E27FC236}">
              <a16:creationId xmlns:a16="http://schemas.microsoft.com/office/drawing/2014/main" id="{217D7868-00AD-4868-89B6-EE9EB4FFA7C3}"/>
            </a:ext>
          </a:extLst>
        </xdr:cNvPr>
        <xdr:cNvSpPr txBox="1"/>
      </xdr:nvSpPr>
      <xdr:spPr>
        <a:xfrm>
          <a:off x="4381501" y="4374242"/>
          <a:ext cx="3051629" cy="270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accent1">
                  <a:lumMod val="50000"/>
                </a:schemeClr>
              </a:solidFill>
              <a:latin typeface="Bodoni MT" panose="02070603080606020203" pitchFamily="18" charset="0"/>
            </a:rPr>
            <a:t>Regional Percentage in </a:t>
          </a:r>
          <a:r>
            <a:rPr lang="en-GB" sz="1400" baseline="0">
              <a:solidFill>
                <a:schemeClr val="accent1">
                  <a:lumMod val="50000"/>
                </a:schemeClr>
              </a:solidFill>
              <a:latin typeface="Bodoni MT" panose="02070603080606020203" pitchFamily="18" charset="0"/>
            </a:rPr>
            <a:t>2024</a:t>
          </a:r>
          <a:endParaRPr lang="en-NG" sz="1400">
            <a:solidFill>
              <a:schemeClr val="accent1">
                <a:lumMod val="50000"/>
              </a:schemeClr>
            </a:solidFill>
            <a:latin typeface="Bodoni MT" panose="02070603080606020203" pitchFamily="18" charset="0"/>
          </a:endParaRPr>
        </a:p>
      </xdr:txBody>
    </xdr:sp>
    <xdr:clientData/>
  </xdr:twoCellAnchor>
  <xdr:twoCellAnchor>
    <xdr:from>
      <xdr:col>14</xdr:col>
      <xdr:colOff>63499</xdr:colOff>
      <xdr:row>25</xdr:row>
      <xdr:rowOff>99787</xdr:rowOff>
    </xdr:from>
    <xdr:to>
      <xdr:col>23</xdr:col>
      <xdr:colOff>18143</xdr:colOff>
      <xdr:row>36</xdr:row>
      <xdr:rowOff>18143</xdr:rowOff>
    </xdr:to>
    <xdr:graphicFrame macro="">
      <xdr:nvGraphicFramePr>
        <xdr:cNvPr id="28" name="Chart 27">
          <a:extLst>
            <a:ext uri="{FF2B5EF4-FFF2-40B4-BE49-F238E27FC236}">
              <a16:creationId xmlns:a16="http://schemas.microsoft.com/office/drawing/2014/main" id="{49E455D0-B6AA-44B2-8D9D-F0F491538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553357</xdr:colOff>
      <xdr:row>24</xdr:row>
      <xdr:rowOff>36285</xdr:rowOff>
    </xdr:from>
    <xdr:to>
      <xdr:col>18</xdr:col>
      <xdr:colOff>566056</xdr:colOff>
      <xdr:row>25</xdr:row>
      <xdr:rowOff>125186</xdr:rowOff>
    </xdr:to>
    <xdr:sp macro="" textlink="">
      <xdr:nvSpPr>
        <xdr:cNvPr id="29" name="TextBox 28">
          <a:extLst>
            <a:ext uri="{FF2B5EF4-FFF2-40B4-BE49-F238E27FC236}">
              <a16:creationId xmlns:a16="http://schemas.microsoft.com/office/drawing/2014/main" id="{49B0D08F-BCE0-46EE-8C99-480FBA54EB19}"/>
            </a:ext>
          </a:extLst>
        </xdr:cNvPr>
        <xdr:cNvSpPr txBox="1"/>
      </xdr:nvSpPr>
      <xdr:spPr>
        <a:xfrm>
          <a:off x="8454571" y="4390571"/>
          <a:ext cx="3051628" cy="270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accent1">
                  <a:lumMod val="50000"/>
                </a:schemeClr>
              </a:solidFill>
              <a:latin typeface="Bodoni MT" panose="02070603080606020203" pitchFamily="18" charset="0"/>
            </a:rPr>
            <a:t>Countries with Decline</a:t>
          </a:r>
          <a:r>
            <a:rPr lang="en-GB" sz="1400" baseline="0">
              <a:solidFill>
                <a:schemeClr val="accent1">
                  <a:lumMod val="50000"/>
                </a:schemeClr>
              </a:solidFill>
              <a:latin typeface="Bodoni MT" panose="02070603080606020203" pitchFamily="18" charset="0"/>
            </a:rPr>
            <a:t> in Growth %</a:t>
          </a:r>
          <a:endParaRPr lang="en-NG" sz="1400">
            <a:solidFill>
              <a:schemeClr val="accent1">
                <a:lumMod val="50000"/>
              </a:schemeClr>
            </a:solidFill>
            <a:latin typeface="Bodoni MT" panose="02070603080606020203" pitchFamily="18" charset="0"/>
          </a:endParaRPr>
        </a:p>
      </xdr:txBody>
    </xdr:sp>
    <xdr:clientData/>
  </xdr:twoCellAnchor>
  <xdr:twoCellAnchor>
    <xdr:from>
      <xdr:col>1</xdr:col>
      <xdr:colOff>144009</xdr:colOff>
      <xdr:row>4</xdr:row>
      <xdr:rowOff>58511</xdr:rowOff>
    </xdr:from>
    <xdr:to>
      <xdr:col>4</xdr:col>
      <xdr:colOff>489857</xdr:colOff>
      <xdr:row>7</xdr:row>
      <xdr:rowOff>52161</xdr:rowOff>
    </xdr:to>
    <xdr:sp macro="" textlink="">
      <xdr:nvSpPr>
        <xdr:cNvPr id="30" name="TextBox 29">
          <a:extLst>
            <a:ext uri="{FF2B5EF4-FFF2-40B4-BE49-F238E27FC236}">
              <a16:creationId xmlns:a16="http://schemas.microsoft.com/office/drawing/2014/main" id="{B1362F41-0397-4C12-B7DD-0D25238B8564}"/>
            </a:ext>
          </a:extLst>
        </xdr:cNvPr>
        <xdr:cNvSpPr txBox="1"/>
      </xdr:nvSpPr>
      <xdr:spPr>
        <a:xfrm>
          <a:off x="751795" y="784225"/>
          <a:ext cx="2169205" cy="537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a:solidFill>
                <a:schemeClr val="accent1">
                  <a:lumMod val="50000"/>
                </a:schemeClr>
              </a:solidFill>
              <a:latin typeface="Bodoni MT" panose="02070603080606020203" pitchFamily="18" charset="0"/>
            </a:rPr>
            <a:t>Most</a:t>
          </a:r>
          <a:r>
            <a:rPr lang="en-GB" sz="1400" baseline="0">
              <a:solidFill>
                <a:schemeClr val="accent1">
                  <a:lumMod val="50000"/>
                </a:schemeClr>
              </a:solidFill>
              <a:latin typeface="Bodoni MT" panose="02070603080606020203" pitchFamily="18" charset="0"/>
            </a:rPr>
            <a:t> Populated Country</a:t>
          </a:r>
          <a:endParaRPr lang="en-NG" sz="1400">
            <a:solidFill>
              <a:schemeClr val="accent1">
                <a:lumMod val="50000"/>
              </a:schemeClr>
            </a:solidFill>
            <a:latin typeface="Bodoni MT" panose="02070603080606020203" pitchFamily="18" charset="0"/>
          </a:endParaRPr>
        </a:p>
      </xdr:txBody>
    </xdr:sp>
    <xdr:clientData/>
  </xdr:twoCellAnchor>
  <xdr:twoCellAnchor>
    <xdr:from>
      <xdr:col>5</xdr:col>
      <xdr:colOff>439964</xdr:colOff>
      <xdr:row>4</xdr:row>
      <xdr:rowOff>60097</xdr:rowOff>
    </xdr:from>
    <xdr:to>
      <xdr:col>9</xdr:col>
      <xdr:colOff>108857</xdr:colOff>
      <xdr:row>7</xdr:row>
      <xdr:rowOff>60097</xdr:rowOff>
    </xdr:to>
    <xdr:sp macro="" textlink="">
      <xdr:nvSpPr>
        <xdr:cNvPr id="31" name="TextBox 30">
          <a:extLst>
            <a:ext uri="{FF2B5EF4-FFF2-40B4-BE49-F238E27FC236}">
              <a16:creationId xmlns:a16="http://schemas.microsoft.com/office/drawing/2014/main" id="{7FFE1785-8C2C-4A75-928D-F6F41E299A5C}"/>
            </a:ext>
          </a:extLst>
        </xdr:cNvPr>
        <xdr:cNvSpPr txBox="1"/>
      </xdr:nvSpPr>
      <xdr:spPr>
        <a:xfrm>
          <a:off x="3478893" y="785811"/>
          <a:ext cx="2100035"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a:solidFill>
                <a:schemeClr val="accent1">
                  <a:lumMod val="50000"/>
                </a:schemeClr>
              </a:solidFill>
              <a:latin typeface="Bodoni MT" panose="02070603080606020203" pitchFamily="18" charset="0"/>
            </a:rPr>
            <a:t>Least</a:t>
          </a:r>
          <a:r>
            <a:rPr lang="en-GB" sz="1400" baseline="0">
              <a:solidFill>
                <a:schemeClr val="accent1">
                  <a:lumMod val="50000"/>
                </a:schemeClr>
              </a:solidFill>
              <a:latin typeface="Bodoni MT" panose="02070603080606020203" pitchFamily="18" charset="0"/>
            </a:rPr>
            <a:t> Populated Country</a:t>
          </a:r>
          <a:endParaRPr lang="en-NG" sz="1400">
            <a:solidFill>
              <a:schemeClr val="accent1">
                <a:lumMod val="50000"/>
              </a:schemeClr>
            </a:solidFill>
            <a:latin typeface="Bodoni MT" panose="02070603080606020203" pitchFamily="18" charset="0"/>
          </a:endParaRPr>
        </a:p>
      </xdr:txBody>
    </xdr:sp>
    <xdr:clientData/>
  </xdr:twoCellAnchor>
  <xdr:twoCellAnchor>
    <xdr:from>
      <xdr:col>10</xdr:col>
      <xdr:colOff>105454</xdr:colOff>
      <xdr:row>4</xdr:row>
      <xdr:rowOff>92302</xdr:rowOff>
    </xdr:from>
    <xdr:to>
      <xdr:col>13</xdr:col>
      <xdr:colOff>371928</xdr:colOff>
      <xdr:row>7</xdr:row>
      <xdr:rowOff>92302</xdr:rowOff>
    </xdr:to>
    <xdr:sp macro="" textlink="">
      <xdr:nvSpPr>
        <xdr:cNvPr id="32" name="TextBox 31">
          <a:extLst>
            <a:ext uri="{FF2B5EF4-FFF2-40B4-BE49-F238E27FC236}">
              <a16:creationId xmlns:a16="http://schemas.microsoft.com/office/drawing/2014/main" id="{9BC961B9-74C1-4B01-8D7D-AF8B87737BE6}"/>
            </a:ext>
          </a:extLst>
        </xdr:cNvPr>
        <xdr:cNvSpPr txBox="1"/>
      </xdr:nvSpPr>
      <xdr:spPr>
        <a:xfrm>
          <a:off x="6183311" y="818016"/>
          <a:ext cx="2089831"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a:solidFill>
                <a:schemeClr val="accent1">
                  <a:lumMod val="50000"/>
                </a:schemeClr>
              </a:solidFill>
              <a:latin typeface="Bodoni MT" panose="02070603080606020203" pitchFamily="18" charset="0"/>
            </a:rPr>
            <a:t>Avg Population in 2024</a:t>
          </a:r>
          <a:endParaRPr lang="en-NG" sz="1400">
            <a:solidFill>
              <a:schemeClr val="accent1">
                <a:lumMod val="50000"/>
              </a:schemeClr>
            </a:solidFill>
            <a:latin typeface="Bodoni MT" panose="02070603080606020203" pitchFamily="18" charset="0"/>
          </a:endParaRPr>
        </a:p>
      </xdr:txBody>
    </xdr:sp>
    <xdr:clientData/>
  </xdr:twoCellAnchor>
  <xdr:twoCellAnchor>
    <xdr:from>
      <xdr:col>15</xdr:col>
      <xdr:colOff>117930</xdr:colOff>
      <xdr:row>4</xdr:row>
      <xdr:rowOff>78013</xdr:rowOff>
    </xdr:from>
    <xdr:to>
      <xdr:col>18</xdr:col>
      <xdr:colOff>351519</xdr:colOff>
      <xdr:row>6</xdr:row>
      <xdr:rowOff>98535</xdr:rowOff>
    </xdr:to>
    <xdr:sp macro="" textlink="">
      <xdr:nvSpPr>
        <xdr:cNvPr id="33" name="TextBox 32">
          <a:extLst>
            <a:ext uri="{FF2B5EF4-FFF2-40B4-BE49-F238E27FC236}">
              <a16:creationId xmlns:a16="http://schemas.microsoft.com/office/drawing/2014/main" id="{30B8F883-52E5-48ED-B906-101E833C4EC8}"/>
            </a:ext>
          </a:extLst>
        </xdr:cNvPr>
        <xdr:cNvSpPr txBox="1"/>
      </xdr:nvSpPr>
      <xdr:spPr>
        <a:xfrm>
          <a:off x="9314482" y="822496"/>
          <a:ext cx="2072899" cy="392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a:solidFill>
                <a:schemeClr val="accent1">
                  <a:lumMod val="50000"/>
                </a:schemeClr>
              </a:solidFill>
              <a:latin typeface="Bodoni MT" panose="02070603080606020203" pitchFamily="18" charset="0"/>
            </a:rPr>
            <a:t>Most</a:t>
          </a:r>
          <a:r>
            <a:rPr lang="en-GB" sz="1400" baseline="0">
              <a:solidFill>
                <a:schemeClr val="accent1">
                  <a:lumMod val="50000"/>
                </a:schemeClr>
              </a:solidFill>
              <a:latin typeface="Bodoni MT" panose="02070603080606020203" pitchFamily="18" charset="0"/>
            </a:rPr>
            <a:t> Populated Region</a:t>
          </a:r>
          <a:endParaRPr lang="en-NG" sz="1400">
            <a:solidFill>
              <a:schemeClr val="accent1">
                <a:lumMod val="50000"/>
              </a:schemeClr>
            </a:solidFill>
            <a:latin typeface="Bodoni MT" panose="02070603080606020203" pitchFamily="18" charset="0"/>
          </a:endParaRPr>
        </a:p>
      </xdr:txBody>
    </xdr:sp>
    <xdr:clientData/>
  </xdr:twoCellAnchor>
  <xdr:twoCellAnchor editAs="oneCell">
    <xdr:from>
      <xdr:col>14</xdr:col>
      <xdr:colOff>91848</xdr:colOff>
      <xdr:row>4</xdr:row>
      <xdr:rowOff>102054</xdr:rowOff>
    </xdr:from>
    <xdr:to>
      <xdr:col>15</xdr:col>
      <xdr:colOff>92661</xdr:colOff>
      <xdr:row>7</xdr:row>
      <xdr:rowOff>166366</xdr:rowOff>
    </xdr:to>
    <xdr:pic>
      <xdr:nvPicPr>
        <xdr:cNvPr id="36" name="Graphic 35" descr="Globe with solid fill">
          <a:extLst>
            <a:ext uri="{FF2B5EF4-FFF2-40B4-BE49-F238E27FC236}">
              <a16:creationId xmlns:a16="http://schemas.microsoft.com/office/drawing/2014/main" id="{FD2BC484-53F5-46C0-8F84-DC9B120580A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8600848" y="827768"/>
          <a:ext cx="608599" cy="608598"/>
        </a:xfrm>
        <a:prstGeom prst="rect">
          <a:avLst/>
        </a:prstGeom>
      </xdr:spPr>
    </xdr:pic>
    <xdr:clientData/>
  </xdr:twoCellAnchor>
  <xdr:twoCellAnchor editAs="oneCell">
    <xdr:from>
      <xdr:col>4</xdr:col>
      <xdr:colOff>521930</xdr:colOff>
      <xdr:row>4</xdr:row>
      <xdr:rowOff>94438</xdr:rowOff>
    </xdr:from>
    <xdr:to>
      <xdr:col>5</xdr:col>
      <xdr:colOff>522742</xdr:colOff>
      <xdr:row>7</xdr:row>
      <xdr:rowOff>158750</xdr:rowOff>
    </xdr:to>
    <xdr:pic>
      <xdr:nvPicPr>
        <xdr:cNvPr id="38" name="Graphic 37" descr="Earth globe: Africa and Europe with solid fill">
          <a:extLst>
            <a:ext uri="{FF2B5EF4-FFF2-40B4-BE49-F238E27FC236}">
              <a16:creationId xmlns:a16="http://schemas.microsoft.com/office/drawing/2014/main" id="{97857E66-7AD9-4581-B7A9-EB6A5498732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953073" y="820152"/>
          <a:ext cx="608598" cy="608598"/>
        </a:xfrm>
        <a:prstGeom prst="rect">
          <a:avLst/>
        </a:prstGeom>
      </xdr:spPr>
    </xdr:pic>
    <xdr:clientData/>
  </xdr:twoCellAnchor>
  <xdr:twoCellAnchor editAs="oneCell">
    <xdr:from>
      <xdr:col>9</xdr:col>
      <xdr:colOff>223384</xdr:colOff>
      <xdr:row>4</xdr:row>
      <xdr:rowOff>115660</xdr:rowOff>
    </xdr:from>
    <xdr:to>
      <xdr:col>10</xdr:col>
      <xdr:colOff>224195</xdr:colOff>
      <xdr:row>7</xdr:row>
      <xdr:rowOff>179972</xdr:rowOff>
    </xdr:to>
    <xdr:pic>
      <xdr:nvPicPr>
        <xdr:cNvPr id="42" name="Graphic 41" descr="Bar chart with solid fill">
          <a:extLst>
            <a:ext uri="{FF2B5EF4-FFF2-40B4-BE49-F238E27FC236}">
              <a16:creationId xmlns:a16="http://schemas.microsoft.com/office/drawing/2014/main" id="{59C72963-8B5D-4249-BE9F-AEF2B61FFED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693455" y="841374"/>
          <a:ext cx="608597" cy="608598"/>
        </a:xfrm>
        <a:prstGeom prst="rect">
          <a:avLst/>
        </a:prstGeom>
      </xdr:spPr>
    </xdr:pic>
    <xdr:clientData/>
  </xdr:twoCellAnchor>
  <xdr:twoCellAnchor editAs="oneCell">
    <xdr:from>
      <xdr:col>0</xdr:col>
      <xdr:colOff>362499</xdr:colOff>
      <xdr:row>4</xdr:row>
      <xdr:rowOff>130045</xdr:rowOff>
    </xdr:from>
    <xdr:to>
      <xdr:col>1</xdr:col>
      <xdr:colOff>363311</xdr:colOff>
      <xdr:row>8</xdr:row>
      <xdr:rowOff>11794</xdr:rowOff>
    </xdr:to>
    <xdr:pic>
      <xdr:nvPicPr>
        <xdr:cNvPr id="43" name="Graphic 42" descr="Earth globe: Africa and Europe with solid fill">
          <a:extLst>
            <a:ext uri="{FF2B5EF4-FFF2-40B4-BE49-F238E27FC236}">
              <a16:creationId xmlns:a16="http://schemas.microsoft.com/office/drawing/2014/main" id="{CCFE820F-377B-4CFE-9802-852F0AB3A30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362499" y="855759"/>
          <a:ext cx="608598" cy="607464"/>
        </a:xfrm>
        <a:prstGeom prst="rect">
          <a:avLst/>
        </a:prstGeom>
      </xdr:spPr>
    </xdr:pic>
    <xdr:clientData/>
  </xdr:twoCellAnchor>
  <xdr:twoCellAnchor>
    <xdr:from>
      <xdr:col>1</xdr:col>
      <xdr:colOff>255134</xdr:colOff>
      <xdr:row>6</xdr:row>
      <xdr:rowOff>91849</xdr:rowOff>
    </xdr:from>
    <xdr:to>
      <xdr:col>4</xdr:col>
      <xdr:colOff>191635</xdr:colOff>
      <xdr:row>8</xdr:row>
      <xdr:rowOff>29483</xdr:rowOff>
    </xdr:to>
    <xdr:sp macro="" textlink="'Country with highest pop 24'!D4">
      <xdr:nvSpPr>
        <xdr:cNvPr id="44" name="TextBox 43">
          <a:extLst>
            <a:ext uri="{FF2B5EF4-FFF2-40B4-BE49-F238E27FC236}">
              <a16:creationId xmlns:a16="http://schemas.microsoft.com/office/drawing/2014/main" id="{3AEE0C59-FEFD-47A1-B78F-7585997E92C1}"/>
            </a:ext>
          </a:extLst>
        </xdr:cNvPr>
        <xdr:cNvSpPr txBox="1"/>
      </xdr:nvSpPr>
      <xdr:spPr>
        <a:xfrm>
          <a:off x="862920" y="1180420"/>
          <a:ext cx="1759858" cy="300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B9B697-EC8D-408D-95BD-568AF2D8AE60}" type="TxLink">
            <a:rPr lang="en-US" sz="1800" b="0" i="0" u="none" strike="noStrike">
              <a:solidFill>
                <a:schemeClr val="accent1">
                  <a:lumMod val="50000"/>
                </a:schemeClr>
              </a:solidFill>
              <a:latin typeface="Bodoni MT" panose="02070603080606020203" pitchFamily="18" charset="0"/>
              <a:ea typeface="Calibri"/>
              <a:cs typeface="Calibri"/>
            </a:rPr>
            <a:pPr algn="ctr"/>
            <a:t>India</a:t>
          </a:fld>
          <a:endParaRPr lang="en-NG" sz="1800">
            <a:solidFill>
              <a:schemeClr val="accent1">
                <a:lumMod val="50000"/>
              </a:schemeClr>
            </a:solidFill>
            <a:latin typeface="Bodoni MT" panose="02070603080606020203" pitchFamily="18" charset="0"/>
          </a:endParaRPr>
        </a:p>
      </xdr:txBody>
    </xdr:sp>
    <xdr:clientData/>
  </xdr:twoCellAnchor>
  <xdr:twoCellAnchor>
    <xdr:from>
      <xdr:col>5</xdr:col>
      <xdr:colOff>386672</xdr:colOff>
      <xdr:row>6</xdr:row>
      <xdr:rowOff>65090</xdr:rowOff>
    </xdr:from>
    <xdr:to>
      <xdr:col>8</xdr:col>
      <xdr:colOff>381000</xdr:colOff>
      <xdr:row>8</xdr:row>
      <xdr:rowOff>81644</xdr:rowOff>
    </xdr:to>
    <xdr:sp macro="" textlink="'Country with least pop 24'!D4">
      <xdr:nvSpPr>
        <xdr:cNvPr id="45" name="TextBox 44">
          <a:extLst>
            <a:ext uri="{FF2B5EF4-FFF2-40B4-BE49-F238E27FC236}">
              <a16:creationId xmlns:a16="http://schemas.microsoft.com/office/drawing/2014/main" id="{A4F9C400-B1B3-423B-ACC1-422CD37EC188}"/>
            </a:ext>
          </a:extLst>
        </xdr:cNvPr>
        <xdr:cNvSpPr txBox="1"/>
      </xdr:nvSpPr>
      <xdr:spPr>
        <a:xfrm>
          <a:off x="3425601" y="1153661"/>
          <a:ext cx="1817685" cy="379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F74F78-9453-4843-AEA0-ACD41A80A387}" type="TxLink">
            <a:rPr lang="en-US" sz="1800" b="0" i="0" u="none" strike="noStrike">
              <a:solidFill>
                <a:schemeClr val="accent1">
                  <a:lumMod val="50000"/>
                </a:schemeClr>
              </a:solidFill>
              <a:latin typeface="Bodoni MT" panose="02070603080606020203" pitchFamily="18" charset="0"/>
              <a:ea typeface="Calibri"/>
              <a:cs typeface="Calibri"/>
            </a:rPr>
            <a:pPr algn="ctr"/>
            <a:t>Nauru</a:t>
          </a:fld>
          <a:endParaRPr lang="en-NG" sz="1800">
            <a:solidFill>
              <a:schemeClr val="accent1">
                <a:lumMod val="50000"/>
              </a:schemeClr>
            </a:solidFill>
            <a:latin typeface="Bodoni MT" panose="02070603080606020203" pitchFamily="18" charset="0"/>
          </a:endParaRPr>
        </a:p>
      </xdr:txBody>
    </xdr:sp>
    <xdr:clientData/>
  </xdr:twoCellAnchor>
  <xdr:twoCellAnchor>
    <xdr:from>
      <xdr:col>15</xdr:col>
      <xdr:colOff>475344</xdr:colOff>
      <xdr:row>6</xdr:row>
      <xdr:rowOff>143780</xdr:rowOff>
    </xdr:from>
    <xdr:to>
      <xdr:col>18</xdr:col>
      <xdr:colOff>58058</xdr:colOff>
      <xdr:row>8</xdr:row>
      <xdr:rowOff>94113</xdr:rowOff>
    </xdr:to>
    <xdr:sp macro="" textlink="'Continent with high pop 2024'!D4">
      <xdr:nvSpPr>
        <xdr:cNvPr id="46" name="TextBox 45">
          <a:extLst>
            <a:ext uri="{FF2B5EF4-FFF2-40B4-BE49-F238E27FC236}">
              <a16:creationId xmlns:a16="http://schemas.microsoft.com/office/drawing/2014/main" id="{F5AB2CFF-2376-467E-B9F3-2983DF20A829}"/>
            </a:ext>
          </a:extLst>
        </xdr:cNvPr>
        <xdr:cNvSpPr txBox="1"/>
      </xdr:nvSpPr>
      <xdr:spPr>
        <a:xfrm>
          <a:off x="9592130" y="1232351"/>
          <a:ext cx="1406071" cy="313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A7BDED8-5EDE-417F-B682-5F54CFA00256}" type="TxLink">
            <a:rPr lang="en-US" sz="1800" b="0" i="0" u="none" strike="noStrike">
              <a:solidFill>
                <a:schemeClr val="accent1">
                  <a:lumMod val="50000"/>
                </a:schemeClr>
              </a:solidFill>
              <a:latin typeface="Bodoni MT" panose="02070603080606020203" pitchFamily="18" charset="0"/>
              <a:ea typeface="Calibri"/>
              <a:cs typeface="Calibri"/>
            </a:rPr>
            <a:pPr marL="0" indent="0" algn="ctr"/>
            <a:t>Asia</a:t>
          </a:fld>
          <a:endParaRPr lang="en-NG" sz="1800" b="0" i="0" u="none" strike="noStrike">
            <a:solidFill>
              <a:schemeClr val="accent1">
                <a:lumMod val="50000"/>
              </a:schemeClr>
            </a:solidFill>
            <a:latin typeface="Bodoni MT" panose="02070603080606020203" pitchFamily="18" charset="0"/>
            <a:ea typeface="Calibri"/>
            <a:cs typeface="Calibri"/>
          </a:endParaRPr>
        </a:p>
      </xdr:txBody>
    </xdr:sp>
    <xdr:clientData/>
  </xdr:twoCellAnchor>
  <xdr:twoCellAnchor>
    <xdr:from>
      <xdr:col>10</xdr:col>
      <xdr:colOff>413431</xdr:colOff>
      <xdr:row>6</xdr:row>
      <xdr:rowOff>122692</xdr:rowOff>
    </xdr:from>
    <xdr:to>
      <xdr:col>12</xdr:col>
      <xdr:colOff>603931</xdr:colOff>
      <xdr:row>8</xdr:row>
      <xdr:rowOff>52388</xdr:rowOff>
    </xdr:to>
    <xdr:sp macro="" textlink="'Average pop 2024'!D4">
      <xdr:nvSpPr>
        <xdr:cNvPr id="47" name="TextBox 46">
          <a:extLst>
            <a:ext uri="{FF2B5EF4-FFF2-40B4-BE49-F238E27FC236}">
              <a16:creationId xmlns:a16="http://schemas.microsoft.com/office/drawing/2014/main" id="{F06C2F21-8FAA-4542-8D12-15D0AFBFD1FB}"/>
            </a:ext>
          </a:extLst>
        </xdr:cNvPr>
        <xdr:cNvSpPr txBox="1"/>
      </xdr:nvSpPr>
      <xdr:spPr>
        <a:xfrm>
          <a:off x="6491288" y="1211263"/>
          <a:ext cx="1406072" cy="292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A5D2D5-0C4E-4E7D-95AD-414DEE12E633}" type="TxLink">
            <a:rPr lang="en-US" sz="1800" b="0" i="0" u="none" strike="noStrike">
              <a:solidFill>
                <a:schemeClr val="accent1">
                  <a:lumMod val="50000"/>
                </a:schemeClr>
              </a:solidFill>
              <a:latin typeface="Bodoni MT" panose="02070603080606020203" pitchFamily="18" charset="0"/>
              <a:ea typeface="Calibri"/>
              <a:cs typeface="Calibri"/>
            </a:rPr>
            <a:pPr algn="ctr"/>
            <a:t>37413103.9</a:t>
          </a:fld>
          <a:endParaRPr lang="en-NG" sz="1800">
            <a:solidFill>
              <a:schemeClr val="accent1">
                <a:lumMod val="50000"/>
              </a:schemeClr>
            </a:solidFill>
            <a:latin typeface="Bodoni MT" panose="02070603080606020203" pitchFamily="18" charset="0"/>
          </a:endParaRPr>
        </a:p>
      </xdr:txBody>
    </xdr:sp>
    <xdr:clientData/>
  </xdr:twoCellAnchor>
  <xdr:twoCellAnchor>
    <xdr:from>
      <xdr:col>0</xdr:col>
      <xdr:colOff>353786</xdr:colOff>
      <xdr:row>0</xdr:row>
      <xdr:rowOff>144916</xdr:rowOff>
    </xdr:from>
    <xdr:to>
      <xdr:col>14</xdr:col>
      <xdr:colOff>90714</xdr:colOff>
      <xdr:row>2</xdr:row>
      <xdr:rowOff>154214</xdr:rowOff>
    </xdr:to>
    <xdr:sp macro="" textlink="">
      <xdr:nvSpPr>
        <xdr:cNvPr id="48" name="TextBox 47">
          <a:extLst>
            <a:ext uri="{FF2B5EF4-FFF2-40B4-BE49-F238E27FC236}">
              <a16:creationId xmlns:a16="http://schemas.microsoft.com/office/drawing/2014/main" id="{EB086D7B-18F3-4D67-8C30-AEBC7CF4A2DF}"/>
            </a:ext>
          </a:extLst>
        </xdr:cNvPr>
        <xdr:cNvSpPr txBox="1"/>
      </xdr:nvSpPr>
      <xdr:spPr>
        <a:xfrm>
          <a:off x="353786" y="144916"/>
          <a:ext cx="8245928" cy="372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0" i="0" u="none" strike="noStrike">
              <a:solidFill>
                <a:schemeClr val="accent1">
                  <a:lumMod val="50000"/>
                </a:schemeClr>
              </a:solidFill>
              <a:latin typeface="Bodoni MT" panose="02070603080606020203" pitchFamily="18" charset="0"/>
              <a:ea typeface="Calibri"/>
              <a:cs typeface="Calibri"/>
            </a:rPr>
            <a:t>WORLD</a:t>
          </a:r>
          <a:r>
            <a:rPr lang="en-US" sz="2000" b="0" i="0" u="none" strike="noStrike" baseline="0">
              <a:solidFill>
                <a:schemeClr val="accent1">
                  <a:lumMod val="50000"/>
                </a:schemeClr>
              </a:solidFill>
              <a:latin typeface="Bodoni MT" panose="02070603080606020203" pitchFamily="18" charset="0"/>
              <a:ea typeface="Calibri"/>
              <a:cs typeface="Calibri"/>
            </a:rPr>
            <a:t> POPULATION DATA 1990 - 2024</a:t>
          </a:r>
          <a:endParaRPr lang="en-US" sz="2000" b="0" i="0" u="none" strike="noStrike">
            <a:solidFill>
              <a:schemeClr val="accent1">
                <a:lumMod val="50000"/>
              </a:schemeClr>
            </a:solidFill>
            <a:latin typeface="Bodoni MT" panose="02070603080606020203" pitchFamily="18" charset="0"/>
            <a:ea typeface="Calibri"/>
            <a:cs typeface="Calibri"/>
          </a:endParaRPr>
        </a:p>
      </xdr:txBody>
    </xdr:sp>
    <xdr:clientData/>
  </xdr:twoCellAnchor>
  <xdr:twoCellAnchor>
    <xdr:from>
      <xdr:col>18</xdr:col>
      <xdr:colOff>489856</xdr:colOff>
      <xdr:row>3</xdr:row>
      <xdr:rowOff>113847</xdr:rowOff>
    </xdr:from>
    <xdr:to>
      <xdr:col>23</xdr:col>
      <xdr:colOff>45357</xdr:colOff>
      <xdr:row>9</xdr:row>
      <xdr:rowOff>36285</xdr:rowOff>
    </xdr:to>
    <xdr:sp macro="" textlink="">
      <xdr:nvSpPr>
        <xdr:cNvPr id="50" name="Rectangle: Rounded Corners 49">
          <a:extLst>
            <a:ext uri="{FF2B5EF4-FFF2-40B4-BE49-F238E27FC236}">
              <a16:creationId xmlns:a16="http://schemas.microsoft.com/office/drawing/2014/main" id="{FD4C9CCE-D9A3-49AF-BDD6-FF833D76486C}"/>
            </a:ext>
          </a:extLst>
        </xdr:cNvPr>
        <xdr:cNvSpPr/>
      </xdr:nvSpPr>
      <xdr:spPr>
        <a:xfrm>
          <a:off x="11429999" y="658133"/>
          <a:ext cx="2594429" cy="1011009"/>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18</xdr:col>
      <xdr:colOff>562428</xdr:colOff>
      <xdr:row>4</xdr:row>
      <xdr:rowOff>9071</xdr:rowOff>
    </xdr:from>
    <xdr:to>
      <xdr:col>22</xdr:col>
      <xdr:colOff>553357</xdr:colOff>
      <xdr:row>8</xdr:row>
      <xdr:rowOff>117927</xdr:rowOff>
    </xdr:to>
    <mc:AlternateContent xmlns:mc="http://schemas.openxmlformats.org/markup-compatibility/2006">
      <mc:Choice xmlns:a14="http://schemas.microsoft.com/office/drawing/2010/main" Requires="a14">
        <xdr:graphicFrame macro="">
          <xdr:nvGraphicFramePr>
            <xdr:cNvPr id="49" name="Region">
              <a:extLst>
                <a:ext uri="{FF2B5EF4-FFF2-40B4-BE49-F238E27FC236}">
                  <a16:creationId xmlns:a16="http://schemas.microsoft.com/office/drawing/2014/main" id="{1FF8FE75-6E58-4ABC-A091-FDABADC483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02571" y="734785"/>
              <a:ext cx="2422072" cy="83457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317500</xdr:colOff>
      <xdr:row>1</xdr:row>
      <xdr:rowOff>164224</xdr:rowOff>
    </xdr:from>
    <xdr:to>
      <xdr:col>23</xdr:col>
      <xdr:colOff>22195</xdr:colOff>
      <xdr:row>3</xdr:row>
      <xdr:rowOff>10948</xdr:rowOff>
    </xdr:to>
    <xdr:sp macro="" textlink="">
      <xdr:nvSpPr>
        <xdr:cNvPr id="41" name="TextBox 40">
          <a:extLst>
            <a:ext uri="{FF2B5EF4-FFF2-40B4-BE49-F238E27FC236}">
              <a16:creationId xmlns:a16="http://schemas.microsoft.com/office/drawing/2014/main" id="{2C321685-4EB4-4AF9-9A43-1526443B6189}"/>
            </a:ext>
          </a:extLst>
        </xdr:cNvPr>
        <xdr:cNvSpPr txBox="1"/>
      </xdr:nvSpPr>
      <xdr:spPr>
        <a:xfrm>
          <a:off x="12579569" y="350345"/>
          <a:ext cx="1544005" cy="218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900" i="1">
              <a:solidFill>
                <a:schemeClr val="accent1">
                  <a:lumMod val="50000"/>
                </a:schemeClr>
              </a:solidFill>
              <a:latin typeface="Bodoni MT" panose="02070603080606020203" pitchFamily="18" charset="0"/>
            </a:rPr>
            <a:t>by Odinakachi Nnuforole</a:t>
          </a:r>
          <a:endParaRPr lang="en-NG" sz="900" i="1">
            <a:solidFill>
              <a:schemeClr val="accent1">
                <a:lumMod val="50000"/>
              </a:schemeClr>
            </a:solidFill>
            <a:latin typeface="Bodoni MT" panose="02070603080606020203" pitchFamily="18"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266700</xdr:colOff>
      <xdr:row>0</xdr:row>
      <xdr:rowOff>101600</xdr:rowOff>
    </xdr:from>
    <xdr:to>
      <xdr:col>8</xdr:col>
      <xdr:colOff>260350</xdr:colOff>
      <xdr:row>17</xdr:row>
      <xdr:rowOff>95250</xdr:rowOff>
    </xdr:to>
    <xdr:sp macro="" textlink="">
      <xdr:nvSpPr>
        <xdr:cNvPr id="2" name="Rectangle 1">
          <a:extLst>
            <a:ext uri="{FF2B5EF4-FFF2-40B4-BE49-F238E27FC236}">
              <a16:creationId xmlns:a16="http://schemas.microsoft.com/office/drawing/2014/main" id="{825BCB9C-0FF6-4B12-9151-2390E57F741E}"/>
            </a:ext>
          </a:extLst>
        </xdr:cNvPr>
        <xdr:cNvSpPr/>
      </xdr:nvSpPr>
      <xdr:spPr>
        <a:xfrm>
          <a:off x="266700" y="101600"/>
          <a:ext cx="4870450" cy="31242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General Observation - Africa</a:t>
          </a:r>
        </a:p>
        <a:p>
          <a:r>
            <a:rPr lang="en-GB" sz="1100">
              <a:solidFill>
                <a:schemeClr val="lt1"/>
              </a:solidFill>
              <a:effectLst/>
              <a:latin typeface="+mn-lt"/>
              <a:ea typeface="+mn-ea"/>
              <a:cs typeface="+mn-cs"/>
            </a:rPr>
            <a:t>- Africa's population is at 1513319287 </a:t>
          </a:r>
        </a:p>
        <a:p>
          <a:r>
            <a:rPr lang="en-GB" sz="1100">
              <a:solidFill>
                <a:schemeClr val="lt1"/>
              </a:solidFill>
              <a:effectLst/>
              <a:latin typeface="+mn-lt"/>
              <a:ea typeface="+mn-ea"/>
              <a:cs typeface="+mn-cs"/>
            </a:rPr>
            <a:t>- The most populated</a:t>
          </a:r>
          <a:r>
            <a:rPr lang="en-GB" sz="1100" baseline="0">
              <a:solidFill>
                <a:schemeClr val="lt1"/>
              </a:solidFill>
              <a:effectLst/>
              <a:latin typeface="+mn-lt"/>
              <a:ea typeface="+mn-ea"/>
              <a:cs typeface="+mn-cs"/>
            </a:rPr>
            <a:t> country in the year 2024 was Nigeria</a:t>
          </a:r>
        </a:p>
        <a:p>
          <a:r>
            <a:rPr lang="en-GB" sz="1100" baseline="0">
              <a:solidFill>
                <a:schemeClr val="lt1"/>
              </a:solidFill>
              <a:effectLst/>
              <a:latin typeface="+mn-lt"/>
              <a:ea typeface="+mn-ea"/>
              <a:cs typeface="+mn-cs"/>
            </a:rPr>
            <a:t>- Sao Tome &amp; Principe had the lowest population</a:t>
          </a:r>
          <a:endParaRPr lang="en-NG">
            <a:effectLst/>
          </a:endParaRPr>
        </a:p>
        <a:p>
          <a:r>
            <a:rPr lang="en-GB" sz="1100" baseline="0">
              <a:solidFill>
                <a:schemeClr val="lt1"/>
              </a:solidFill>
              <a:effectLst/>
              <a:latin typeface="+mn-lt"/>
              <a:ea typeface="+mn-ea"/>
              <a:cs typeface="+mn-cs"/>
            </a:rPr>
            <a:t>- Average population in 2024 was at 28024431.24</a:t>
          </a:r>
        </a:p>
        <a:p>
          <a:r>
            <a:rPr lang="en-GB" sz="1100" baseline="0">
              <a:solidFill>
                <a:schemeClr val="lt1"/>
              </a:solidFill>
              <a:effectLst/>
              <a:latin typeface="+mn-lt"/>
              <a:ea typeface="+mn-ea"/>
              <a:cs typeface="+mn-cs"/>
            </a:rPr>
            <a:t>- For Avg annual growth rate by region shows Africa having a 2.40</a:t>
          </a:r>
        </a:p>
        <a:p>
          <a:r>
            <a:rPr lang="en-GB" sz="1100" baseline="0">
              <a:solidFill>
                <a:schemeClr val="lt1"/>
              </a:solidFill>
              <a:effectLst/>
              <a:latin typeface="+mn-lt"/>
              <a:ea typeface="+mn-ea"/>
              <a:cs typeface="+mn-cs"/>
            </a:rPr>
            <a:t>- Growth rate % from 1990 - 2024 by countries has Equitorial Guinea at 299.03, Chad at 239.29, Niger at 226.24, Angola at 225.86 and Congo dem. at 197.88</a:t>
          </a:r>
          <a:endParaRPr lang="en-NG">
            <a:effectLst/>
          </a:endParaRPr>
        </a:p>
        <a:p>
          <a:r>
            <a:rPr lang="en-GB" sz="1100" baseline="0">
              <a:solidFill>
                <a:schemeClr val="lt1"/>
              </a:solidFill>
              <a:effectLst/>
              <a:latin typeface="+mn-lt"/>
              <a:ea typeface="+mn-ea"/>
              <a:cs typeface="+mn-cs"/>
            </a:rPr>
            <a:t>- Countries with Decline in Growth % has Tunisia at 47.48, Eswatini at 42.46, Cabo verde at 39.81, Lesotho at 29.16 and Mauritius at 18.96. </a:t>
          </a:r>
          <a:endParaRPr lang="en-NG">
            <a:effectLst/>
          </a:endParaRPr>
        </a:p>
        <a:p>
          <a:pPr algn="l"/>
          <a:endParaRPr lang="en-NG" sz="1100">
            <a:solidFill>
              <a:schemeClr val="bg1"/>
            </a:solidFill>
          </a:endParaRPr>
        </a:p>
      </xdr:txBody>
    </xdr:sp>
    <xdr:clientData/>
  </xdr:twoCellAnchor>
  <xdr:twoCellAnchor>
    <xdr:from>
      <xdr:col>8</xdr:col>
      <xdr:colOff>508000</xdr:colOff>
      <xdr:row>0</xdr:row>
      <xdr:rowOff>107950</xdr:rowOff>
    </xdr:from>
    <xdr:to>
      <xdr:col>16</xdr:col>
      <xdr:colOff>501650</xdr:colOff>
      <xdr:row>17</xdr:row>
      <xdr:rowOff>101600</xdr:rowOff>
    </xdr:to>
    <xdr:sp macro="" textlink="">
      <xdr:nvSpPr>
        <xdr:cNvPr id="3" name="Rectangle 2">
          <a:extLst>
            <a:ext uri="{FF2B5EF4-FFF2-40B4-BE49-F238E27FC236}">
              <a16:creationId xmlns:a16="http://schemas.microsoft.com/office/drawing/2014/main" id="{DB382B02-9B4E-4BBF-A772-39C7B490107B}"/>
            </a:ext>
          </a:extLst>
        </xdr:cNvPr>
        <xdr:cNvSpPr/>
      </xdr:nvSpPr>
      <xdr:spPr>
        <a:xfrm>
          <a:off x="5384800" y="107950"/>
          <a:ext cx="4870450" cy="31242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accent1">
                  <a:lumMod val="50000"/>
                </a:schemeClr>
              </a:solidFill>
            </a:rPr>
            <a:t>General Observation - Asia</a:t>
          </a:r>
        </a:p>
        <a:p>
          <a:r>
            <a:rPr lang="en-GB" sz="1100">
              <a:solidFill>
                <a:schemeClr val="accent1">
                  <a:lumMod val="50000"/>
                </a:schemeClr>
              </a:solidFill>
              <a:effectLst/>
              <a:latin typeface="+mn-lt"/>
              <a:ea typeface="+mn-ea"/>
              <a:cs typeface="+mn-cs"/>
            </a:rPr>
            <a:t>- Asia's population is at 4772010067</a:t>
          </a:r>
          <a:endParaRPr lang="en-NG">
            <a:solidFill>
              <a:schemeClr val="accent1">
                <a:lumMod val="50000"/>
              </a:schemeClr>
            </a:solidFill>
            <a:effectLst/>
          </a:endParaRPr>
        </a:p>
        <a:p>
          <a:r>
            <a:rPr lang="en-GB" sz="1100">
              <a:solidFill>
                <a:schemeClr val="accent1">
                  <a:lumMod val="50000"/>
                </a:schemeClr>
              </a:solidFill>
              <a:effectLst/>
              <a:latin typeface="+mn-lt"/>
              <a:ea typeface="+mn-ea"/>
              <a:cs typeface="+mn-cs"/>
            </a:rPr>
            <a:t>- The most populated</a:t>
          </a:r>
          <a:r>
            <a:rPr lang="en-GB" sz="1100" baseline="0">
              <a:solidFill>
                <a:schemeClr val="accent1">
                  <a:lumMod val="50000"/>
                </a:schemeClr>
              </a:solidFill>
              <a:effectLst/>
              <a:latin typeface="+mn-lt"/>
              <a:ea typeface="+mn-ea"/>
              <a:cs typeface="+mn-cs"/>
            </a:rPr>
            <a:t> country in the year 2024 was India</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Maldives had the lowest population</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Average population in 2024 was at 95440201.34</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For Avg annual growth rate by region shows Asia having a 1.86</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Growth rate % from 1990 - 2024 by countries has Qatar at 549.25, UAE at 473.01, Afghanistan at 254.05, Saudi Arabia at 231.75 and Jordan at 218.97</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Countries with Decline in Growth % has Korea rep at 20.72, Kazakhstan at 20.04, Japan 0.40, Armenia at -14.60 and Georgia at -23.49. </a:t>
          </a:r>
          <a:endParaRPr lang="en-NG">
            <a:solidFill>
              <a:schemeClr val="accent1">
                <a:lumMod val="50000"/>
              </a:schemeClr>
            </a:solidFill>
            <a:effectLst/>
          </a:endParaRPr>
        </a:p>
        <a:p>
          <a:pPr algn="l"/>
          <a:endParaRPr lang="en-NG" sz="1100">
            <a:solidFill>
              <a:schemeClr val="accent1">
                <a:lumMod val="50000"/>
              </a:schemeClr>
            </a:solidFill>
          </a:endParaRPr>
        </a:p>
      </xdr:txBody>
    </xdr:sp>
    <xdr:clientData/>
  </xdr:twoCellAnchor>
  <xdr:twoCellAnchor>
    <xdr:from>
      <xdr:col>0</xdr:col>
      <xdr:colOff>279400</xdr:colOff>
      <xdr:row>18</xdr:row>
      <xdr:rowOff>152400</xdr:rowOff>
    </xdr:from>
    <xdr:to>
      <xdr:col>8</xdr:col>
      <xdr:colOff>273050</xdr:colOff>
      <xdr:row>35</xdr:row>
      <xdr:rowOff>146050</xdr:rowOff>
    </xdr:to>
    <xdr:sp macro="" textlink="">
      <xdr:nvSpPr>
        <xdr:cNvPr id="4" name="Rectangle 3">
          <a:extLst>
            <a:ext uri="{FF2B5EF4-FFF2-40B4-BE49-F238E27FC236}">
              <a16:creationId xmlns:a16="http://schemas.microsoft.com/office/drawing/2014/main" id="{1D8C70CF-4A91-41CC-A0EE-96906B808F67}"/>
            </a:ext>
          </a:extLst>
        </xdr:cNvPr>
        <xdr:cNvSpPr/>
      </xdr:nvSpPr>
      <xdr:spPr>
        <a:xfrm>
          <a:off x="279400" y="3467100"/>
          <a:ext cx="4870450" cy="31242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accent1">
                  <a:lumMod val="50000"/>
                </a:schemeClr>
              </a:solidFill>
            </a:rPr>
            <a:t>General Observation - Europe</a:t>
          </a:r>
        </a:p>
        <a:p>
          <a:r>
            <a:rPr lang="en-GB" sz="1100">
              <a:solidFill>
                <a:schemeClr val="accent1">
                  <a:lumMod val="50000"/>
                </a:schemeClr>
              </a:solidFill>
              <a:effectLst/>
              <a:latin typeface="+mn-lt"/>
              <a:ea typeface="+mn-ea"/>
              <a:cs typeface="+mn-cs"/>
            </a:rPr>
            <a:t>- Europe's population is at 742931640</a:t>
          </a:r>
          <a:endParaRPr lang="en-NG">
            <a:solidFill>
              <a:schemeClr val="accent1">
                <a:lumMod val="50000"/>
              </a:schemeClr>
            </a:solidFill>
            <a:effectLst/>
          </a:endParaRPr>
        </a:p>
        <a:p>
          <a:r>
            <a:rPr lang="en-GB" sz="1100">
              <a:solidFill>
                <a:schemeClr val="accent1">
                  <a:lumMod val="50000"/>
                </a:schemeClr>
              </a:solidFill>
              <a:effectLst/>
              <a:latin typeface="+mn-lt"/>
              <a:ea typeface="+mn-ea"/>
              <a:cs typeface="+mn-cs"/>
            </a:rPr>
            <a:t>- The most populated</a:t>
          </a:r>
          <a:r>
            <a:rPr lang="en-GB" sz="1100" baseline="0">
              <a:solidFill>
                <a:schemeClr val="accent1">
                  <a:lumMod val="50000"/>
                </a:schemeClr>
              </a:solidFill>
              <a:effectLst/>
              <a:latin typeface="+mn-lt"/>
              <a:ea typeface="+mn-ea"/>
              <a:cs typeface="+mn-cs"/>
            </a:rPr>
            <a:t> country in the year 2024 was Russia</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Monaco had the lowest population</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Average population in 2024 was at 15477742.5</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For Avg annual growth rate by region shows Europe having a 0.21</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Growth rate % from 1990 - 2024 by countries has Luxembourg at 77.48, Malta at 62.17, Iceland at 58.78, Andorra at 55.78 and Ireland at 53.11</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Countries with Decline in Growth % has Latvia at -30.07, Bosnia &amp; Herzegovina at -28.87 , Ukraine at -27.27, Bulgaria at 26.08 and Kosovo at 22.62. </a:t>
          </a:r>
          <a:endParaRPr lang="en-NG">
            <a:solidFill>
              <a:schemeClr val="accent1">
                <a:lumMod val="50000"/>
              </a:schemeClr>
            </a:solidFill>
            <a:effectLst/>
          </a:endParaRPr>
        </a:p>
        <a:p>
          <a:pPr algn="l"/>
          <a:endParaRPr lang="en-NG" sz="1100">
            <a:solidFill>
              <a:schemeClr val="accent1">
                <a:lumMod val="50000"/>
              </a:schemeClr>
            </a:solidFill>
          </a:endParaRPr>
        </a:p>
      </xdr:txBody>
    </xdr:sp>
    <xdr:clientData/>
  </xdr:twoCellAnchor>
  <xdr:twoCellAnchor>
    <xdr:from>
      <xdr:col>8</xdr:col>
      <xdr:colOff>508000</xdr:colOff>
      <xdr:row>18</xdr:row>
      <xdr:rowOff>152400</xdr:rowOff>
    </xdr:from>
    <xdr:to>
      <xdr:col>16</xdr:col>
      <xdr:colOff>501650</xdr:colOff>
      <xdr:row>35</xdr:row>
      <xdr:rowOff>146050</xdr:rowOff>
    </xdr:to>
    <xdr:sp macro="" textlink="">
      <xdr:nvSpPr>
        <xdr:cNvPr id="5" name="Rectangle 4">
          <a:extLst>
            <a:ext uri="{FF2B5EF4-FFF2-40B4-BE49-F238E27FC236}">
              <a16:creationId xmlns:a16="http://schemas.microsoft.com/office/drawing/2014/main" id="{6DD22A56-2091-4663-821B-20E805089A36}"/>
            </a:ext>
          </a:extLst>
        </xdr:cNvPr>
        <xdr:cNvSpPr/>
      </xdr:nvSpPr>
      <xdr:spPr>
        <a:xfrm>
          <a:off x="5384800" y="3467100"/>
          <a:ext cx="4870450" cy="31242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General Observation - North America</a:t>
          </a:r>
        </a:p>
        <a:p>
          <a:r>
            <a:rPr lang="en-GB" sz="1100">
              <a:solidFill>
                <a:schemeClr val="lt1"/>
              </a:solidFill>
              <a:effectLst/>
              <a:latin typeface="+mn-lt"/>
              <a:ea typeface="+mn-ea"/>
              <a:cs typeface="+mn-cs"/>
            </a:rPr>
            <a:t>- North</a:t>
          </a:r>
          <a:r>
            <a:rPr lang="en-GB" sz="1100" baseline="0">
              <a:solidFill>
                <a:schemeClr val="lt1"/>
              </a:solidFill>
              <a:effectLst/>
              <a:latin typeface="+mn-lt"/>
              <a:ea typeface="+mn-ea"/>
              <a:cs typeface="+mn-cs"/>
            </a:rPr>
            <a:t> America</a:t>
          </a:r>
          <a:r>
            <a:rPr lang="en-GB" sz="1100">
              <a:solidFill>
                <a:schemeClr val="lt1"/>
              </a:solidFill>
              <a:effectLst/>
              <a:latin typeface="+mn-lt"/>
              <a:ea typeface="+mn-ea"/>
              <a:cs typeface="+mn-cs"/>
            </a:rPr>
            <a:t>'s population is at 608407700</a:t>
          </a:r>
          <a:endParaRPr lang="en-NG">
            <a:effectLst/>
          </a:endParaRPr>
        </a:p>
        <a:p>
          <a:r>
            <a:rPr lang="en-GB" sz="1100">
              <a:solidFill>
                <a:schemeClr val="lt1"/>
              </a:solidFill>
              <a:effectLst/>
              <a:latin typeface="+mn-lt"/>
              <a:ea typeface="+mn-ea"/>
              <a:cs typeface="+mn-cs"/>
            </a:rPr>
            <a:t>- The most populated</a:t>
          </a:r>
          <a:r>
            <a:rPr lang="en-GB" sz="1100" baseline="0">
              <a:solidFill>
                <a:schemeClr val="lt1"/>
              </a:solidFill>
              <a:effectLst/>
              <a:latin typeface="+mn-lt"/>
              <a:ea typeface="+mn-ea"/>
              <a:cs typeface="+mn-cs"/>
            </a:rPr>
            <a:t> country in the year 2024 was United States</a:t>
          </a:r>
          <a:endParaRPr lang="en-NG">
            <a:effectLst/>
          </a:endParaRPr>
        </a:p>
        <a:p>
          <a:r>
            <a:rPr lang="en-GB" sz="1100" baseline="0">
              <a:solidFill>
                <a:schemeClr val="lt1"/>
              </a:solidFill>
              <a:effectLst/>
              <a:latin typeface="+mn-lt"/>
              <a:ea typeface="+mn-ea"/>
              <a:cs typeface="+mn-cs"/>
            </a:rPr>
            <a:t>- British Virgin Islands had the lowest population</a:t>
          </a:r>
          <a:endParaRPr lang="en-NG">
            <a:effectLst/>
          </a:endParaRPr>
        </a:p>
        <a:p>
          <a:r>
            <a:rPr lang="en-GB" sz="1100" baseline="0">
              <a:solidFill>
                <a:schemeClr val="lt1"/>
              </a:solidFill>
              <a:effectLst/>
              <a:latin typeface="+mn-lt"/>
              <a:ea typeface="+mn-ea"/>
              <a:cs typeface="+mn-cs"/>
            </a:rPr>
            <a:t>- Average population in 2024 was at 17894344.12</a:t>
          </a:r>
          <a:endParaRPr lang="en-NG">
            <a:effectLst/>
          </a:endParaRPr>
        </a:p>
        <a:p>
          <a:r>
            <a:rPr lang="en-GB" sz="1100" baseline="0">
              <a:solidFill>
                <a:schemeClr val="lt1"/>
              </a:solidFill>
              <a:effectLst/>
              <a:latin typeface="+mn-lt"/>
              <a:ea typeface="+mn-ea"/>
              <a:cs typeface="+mn-cs"/>
            </a:rPr>
            <a:t>- For Avg annual growth rate by region shows North America having a 1.07</a:t>
          </a:r>
          <a:endParaRPr lang="en-NG">
            <a:effectLst/>
          </a:endParaRPr>
        </a:p>
        <a:p>
          <a:r>
            <a:rPr lang="en-GB" sz="1100" baseline="0">
              <a:solidFill>
                <a:schemeClr val="lt1"/>
              </a:solidFill>
              <a:effectLst/>
              <a:latin typeface="+mn-lt"/>
              <a:ea typeface="+mn-ea"/>
              <a:cs typeface="+mn-cs"/>
            </a:rPr>
            <a:t>- Growth rate % from 1990 - 2024 by countries has Turks &amp; Caicos Island at 298.14, Cayman Island at 186.38, British Virgin Islands at 151.34, Belize at 127.81 and Honduras at 117.36</a:t>
          </a:r>
          <a:endParaRPr lang="en-NG">
            <a:effectLst/>
          </a:endParaRPr>
        </a:p>
        <a:p>
          <a:r>
            <a:rPr lang="en-GB" sz="1100" baseline="0">
              <a:solidFill>
                <a:schemeClr val="lt1"/>
              </a:solidFill>
              <a:effectLst/>
              <a:latin typeface="+mn-lt"/>
              <a:ea typeface="+mn-ea"/>
              <a:cs typeface="+mn-cs"/>
            </a:rPr>
            <a:t>- Countries with Decline in Growth % has St Vincent &amp; the Grenadines at -10.01, Peurto Rico(US) at -9.43, St Martin (French part) at -7.42, Dominica at -4.91 and Virgin Islands (US) at 0.40. </a:t>
          </a:r>
          <a:endParaRPr lang="en-NG">
            <a:effectLst/>
          </a:endParaRPr>
        </a:p>
        <a:p>
          <a:pPr algn="l"/>
          <a:endParaRPr lang="en-NG" sz="1100" b="0">
            <a:solidFill>
              <a:schemeClr val="bg1"/>
            </a:solidFill>
          </a:endParaRPr>
        </a:p>
      </xdr:txBody>
    </xdr:sp>
    <xdr:clientData/>
  </xdr:twoCellAnchor>
  <xdr:twoCellAnchor>
    <xdr:from>
      <xdr:col>17</xdr:col>
      <xdr:colOff>152400</xdr:colOff>
      <xdr:row>0</xdr:row>
      <xdr:rowOff>88900</xdr:rowOff>
    </xdr:from>
    <xdr:to>
      <xdr:col>25</xdr:col>
      <xdr:colOff>146050</xdr:colOff>
      <xdr:row>17</xdr:row>
      <xdr:rowOff>82550</xdr:rowOff>
    </xdr:to>
    <xdr:sp macro="" textlink="">
      <xdr:nvSpPr>
        <xdr:cNvPr id="6" name="Rectangle 5">
          <a:extLst>
            <a:ext uri="{FF2B5EF4-FFF2-40B4-BE49-F238E27FC236}">
              <a16:creationId xmlns:a16="http://schemas.microsoft.com/office/drawing/2014/main" id="{4EAD1D77-81E9-42C6-B575-441955B57306}"/>
            </a:ext>
          </a:extLst>
        </xdr:cNvPr>
        <xdr:cNvSpPr/>
      </xdr:nvSpPr>
      <xdr:spPr>
        <a:xfrm>
          <a:off x="10515600" y="88900"/>
          <a:ext cx="4870450" cy="31242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General Observation - Oceania</a:t>
          </a:r>
        </a:p>
        <a:p>
          <a:r>
            <a:rPr lang="en-GB" sz="1100">
              <a:solidFill>
                <a:schemeClr val="lt1"/>
              </a:solidFill>
              <a:effectLst/>
              <a:latin typeface="+mn-lt"/>
              <a:ea typeface="+mn-ea"/>
              <a:cs typeface="+mn-cs"/>
            </a:rPr>
            <a:t>- Oceania's population is at 46675544</a:t>
          </a:r>
          <a:endParaRPr lang="en-NG">
            <a:effectLst/>
          </a:endParaRPr>
        </a:p>
        <a:p>
          <a:r>
            <a:rPr lang="en-GB" sz="1100">
              <a:solidFill>
                <a:schemeClr val="lt1"/>
              </a:solidFill>
              <a:effectLst/>
              <a:latin typeface="+mn-lt"/>
              <a:ea typeface="+mn-ea"/>
              <a:cs typeface="+mn-cs"/>
            </a:rPr>
            <a:t>- The most populated</a:t>
          </a:r>
          <a:r>
            <a:rPr lang="en-GB" sz="1100" baseline="0">
              <a:solidFill>
                <a:schemeClr val="lt1"/>
              </a:solidFill>
              <a:effectLst/>
              <a:latin typeface="+mn-lt"/>
              <a:ea typeface="+mn-ea"/>
              <a:cs typeface="+mn-cs"/>
            </a:rPr>
            <a:t> country in the year 2024 was Australia</a:t>
          </a:r>
          <a:endParaRPr lang="en-NG">
            <a:effectLst/>
          </a:endParaRPr>
        </a:p>
        <a:p>
          <a:r>
            <a:rPr lang="en-GB" sz="1100" baseline="0">
              <a:solidFill>
                <a:schemeClr val="lt1"/>
              </a:solidFill>
              <a:effectLst/>
              <a:latin typeface="+mn-lt"/>
              <a:ea typeface="+mn-ea"/>
              <a:cs typeface="+mn-cs"/>
            </a:rPr>
            <a:t>- Nauru had the lowest population</a:t>
          </a:r>
          <a:endParaRPr lang="en-NG">
            <a:effectLst/>
          </a:endParaRPr>
        </a:p>
        <a:p>
          <a:r>
            <a:rPr lang="en-GB" sz="1100" baseline="0">
              <a:solidFill>
                <a:schemeClr val="lt1"/>
              </a:solidFill>
              <a:effectLst/>
              <a:latin typeface="+mn-lt"/>
              <a:ea typeface="+mn-ea"/>
              <a:cs typeface="+mn-cs"/>
            </a:rPr>
            <a:t>- Average population in 2024 was at 2456607.579</a:t>
          </a:r>
          <a:endParaRPr lang="en-NG">
            <a:effectLst/>
          </a:endParaRPr>
        </a:p>
        <a:p>
          <a:r>
            <a:rPr lang="en-GB" sz="1100" baseline="0">
              <a:solidFill>
                <a:schemeClr val="lt1"/>
              </a:solidFill>
              <a:effectLst/>
              <a:latin typeface="+mn-lt"/>
              <a:ea typeface="+mn-ea"/>
              <a:cs typeface="+mn-cs"/>
            </a:rPr>
            <a:t>- For Avg annual growth rate by region shows Oceania having a 0.96</a:t>
          </a:r>
          <a:endParaRPr lang="en-NG">
            <a:effectLst/>
          </a:endParaRPr>
        </a:p>
        <a:p>
          <a:r>
            <a:rPr lang="en-GB" sz="1100" baseline="0">
              <a:solidFill>
                <a:schemeClr val="lt1"/>
              </a:solidFill>
              <a:effectLst/>
              <a:latin typeface="+mn-lt"/>
              <a:ea typeface="+mn-ea"/>
              <a:cs typeface="+mn-cs"/>
            </a:rPr>
            <a:t>- Growth rate % from 1990 - 2024 by countries has Papua New Guinea at 171.44, Solomon Islands at 147.17, Vanuatu at 121.38, Kiribatu at 79.70 and New Caledonia at 65.84</a:t>
          </a:r>
          <a:endParaRPr lang="en-NG">
            <a:effectLst/>
          </a:endParaRPr>
        </a:p>
        <a:p>
          <a:r>
            <a:rPr lang="en-GB" sz="1100" baseline="0">
              <a:solidFill>
                <a:schemeClr val="lt1"/>
              </a:solidFill>
              <a:effectLst/>
              <a:latin typeface="+mn-lt"/>
              <a:ea typeface="+mn-ea"/>
              <a:cs typeface="+mn-cs"/>
            </a:rPr>
            <a:t>- Countries with Decline in Growth % has Marshall Islands at -15.87, American Samoa at 0.27, Northern Mariana Islands at 2.16, Tonga at 4.49 and Tuvalu at 9.64. </a:t>
          </a:r>
          <a:endParaRPr lang="en-NG">
            <a:effectLst/>
          </a:endParaRPr>
        </a:p>
        <a:p>
          <a:pPr algn="l"/>
          <a:endParaRPr lang="en-NG" sz="1100" b="0">
            <a:solidFill>
              <a:schemeClr val="bg1"/>
            </a:solidFill>
          </a:endParaRPr>
        </a:p>
      </xdr:txBody>
    </xdr:sp>
    <xdr:clientData/>
  </xdr:twoCellAnchor>
  <xdr:twoCellAnchor>
    <xdr:from>
      <xdr:col>17</xdr:col>
      <xdr:colOff>139700</xdr:colOff>
      <xdr:row>18</xdr:row>
      <xdr:rowOff>177800</xdr:rowOff>
    </xdr:from>
    <xdr:to>
      <xdr:col>25</xdr:col>
      <xdr:colOff>133350</xdr:colOff>
      <xdr:row>35</xdr:row>
      <xdr:rowOff>171450</xdr:rowOff>
    </xdr:to>
    <xdr:sp macro="" textlink="">
      <xdr:nvSpPr>
        <xdr:cNvPr id="7" name="Rectangle 6">
          <a:extLst>
            <a:ext uri="{FF2B5EF4-FFF2-40B4-BE49-F238E27FC236}">
              <a16:creationId xmlns:a16="http://schemas.microsoft.com/office/drawing/2014/main" id="{36B454DB-E47D-453C-8E1D-A192D0AAB3A6}"/>
            </a:ext>
          </a:extLst>
        </xdr:cNvPr>
        <xdr:cNvSpPr/>
      </xdr:nvSpPr>
      <xdr:spPr>
        <a:xfrm>
          <a:off x="10502900" y="3492500"/>
          <a:ext cx="4870450" cy="31242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accent1">
                  <a:lumMod val="50000"/>
                </a:schemeClr>
              </a:solidFill>
            </a:rPr>
            <a:t>General Observation - South America</a:t>
          </a:r>
        </a:p>
        <a:p>
          <a:r>
            <a:rPr lang="en-GB" sz="1100">
              <a:solidFill>
                <a:schemeClr val="accent1">
                  <a:lumMod val="50000"/>
                </a:schemeClr>
              </a:solidFill>
              <a:effectLst/>
              <a:latin typeface="+mn-lt"/>
              <a:ea typeface="+mn-ea"/>
              <a:cs typeface="+mn-cs"/>
            </a:rPr>
            <a:t>- South</a:t>
          </a:r>
          <a:r>
            <a:rPr lang="en-GB" sz="1100" baseline="0">
              <a:solidFill>
                <a:schemeClr val="accent1">
                  <a:lumMod val="50000"/>
                </a:schemeClr>
              </a:solidFill>
              <a:effectLst/>
              <a:latin typeface="+mn-lt"/>
              <a:ea typeface="+mn-ea"/>
              <a:cs typeface="+mn-cs"/>
            </a:rPr>
            <a:t> America</a:t>
          </a:r>
          <a:r>
            <a:rPr lang="en-GB" sz="1100">
              <a:solidFill>
                <a:schemeClr val="accent1">
                  <a:lumMod val="50000"/>
                </a:schemeClr>
              </a:solidFill>
              <a:effectLst/>
              <a:latin typeface="+mn-lt"/>
              <a:ea typeface="+mn-ea"/>
              <a:cs typeface="+mn-cs"/>
            </a:rPr>
            <a:t>'s population is at 435299309</a:t>
          </a:r>
          <a:endParaRPr lang="en-NG">
            <a:solidFill>
              <a:schemeClr val="accent1">
                <a:lumMod val="50000"/>
              </a:schemeClr>
            </a:solidFill>
            <a:effectLst/>
          </a:endParaRPr>
        </a:p>
        <a:p>
          <a:r>
            <a:rPr lang="en-GB" sz="1100">
              <a:solidFill>
                <a:schemeClr val="accent1">
                  <a:lumMod val="50000"/>
                </a:schemeClr>
              </a:solidFill>
              <a:effectLst/>
              <a:latin typeface="+mn-lt"/>
              <a:ea typeface="+mn-ea"/>
              <a:cs typeface="+mn-cs"/>
            </a:rPr>
            <a:t>- The most populated</a:t>
          </a:r>
          <a:r>
            <a:rPr lang="en-GB" sz="1100" baseline="0">
              <a:solidFill>
                <a:schemeClr val="accent1">
                  <a:lumMod val="50000"/>
                </a:schemeClr>
              </a:solidFill>
              <a:effectLst/>
              <a:latin typeface="+mn-lt"/>
              <a:ea typeface="+mn-ea"/>
              <a:cs typeface="+mn-cs"/>
            </a:rPr>
            <a:t> country in the year 2024 was Brazil</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Guyana had the lowest population</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Average population in 2024 was at 36274942.42</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For Avg annual growth rate by region shows South America having a 1.14</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Growth rate % from 1990 - 2024 by countries has Bolivia at 74.10,Ecuador at 73.15, Paragua at 71.69, Colombia at 63.03 and Peru at 55.43</a:t>
          </a:r>
          <a:endParaRPr lang="en-NG">
            <a:solidFill>
              <a:schemeClr val="accent1">
                <a:lumMod val="50000"/>
              </a:schemeClr>
            </a:solidFill>
            <a:effectLst/>
          </a:endParaRPr>
        </a:p>
        <a:p>
          <a:r>
            <a:rPr lang="en-GB" sz="1100" baseline="0">
              <a:solidFill>
                <a:schemeClr val="accent1">
                  <a:lumMod val="50000"/>
                </a:schemeClr>
              </a:solidFill>
              <a:effectLst/>
              <a:latin typeface="+mn-lt"/>
              <a:ea typeface="+mn-ea"/>
              <a:cs typeface="+mn-cs"/>
            </a:rPr>
            <a:t>- Countries with Decline in Growth % has Uruguay at 9.09, Guyana at 10.83, Argentina at 39.51, Brazil at 42.14 and Venezuala at 43.27. </a:t>
          </a:r>
          <a:endParaRPr lang="en-NG">
            <a:solidFill>
              <a:schemeClr val="accent1">
                <a:lumMod val="50000"/>
              </a:schemeClr>
            </a:solidFill>
            <a:effectLst/>
          </a:endParaRPr>
        </a:p>
        <a:p>
          <a:pPr algn="l"/>
          <a:endParaRPr lang="en-NG" sz="1100">
            <a:solidFill>
              <a:schemeClr val="accent1">
                <a:lumMod val="50000"/>
              </a:schemeClr>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330200</xdr:colOff>
      <xdr:row>0</xdr:row>
      <xdr:rowOff>88900</xdr:rowOff>
    </xdr:from>
    <xdr:to>
      <xdr:col>8</xdr:col>
      <xdr:colOff>323850</xdr:colOff>
      <xdr:row>30</xdr:row>
      <xdr:rowOff>133350</xdr:rowOff>
    </xdr:to>
    <xdr:sp macro="" textlink="">
      <xdr:nvSpPr>
        <xdr:cNvPr id="2" name="Rectangle 1">
          <a:extLst>
            <a:ext uri="{FF2B5EF4-FFF2-40B4-BE49-F238E27FC236}">
              <a16:creationId xmlns:a16="http://schemas.microsoft.com/office/drawing/2014/main" id="{75750618-BB0F-4476-B6E1-BCDA6C8211CB}"/>
            </a:ext>
          </a:extLst>
        </xdr:cNvPr>
        <xdr:cNvSpPr/>
      </xdr:nvSpPr>
      <xdr:spPr>
        <a:xfrm>
          <a:off x="330200" y="88900"/>
          <a:ext cx="4870450" cy="556895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Recommendation</a:t>
          </a:r>
        </a:p>
        <a:p>
          <a:r>
            <a:rPr lang="en-GB" b="1"/>
            <a:t>1. Africa — Prioritize Sustainable Growth and Human Capital Development</a:t>
          </a:r>
        </a:p>
        <a:p>
          <a:r>
            <a:rPr lang="en-GB" b="0"/>
            <a:t>Governments and NGOs should invest in education, healthcare, and job creation to harness the demographic dividend.</a:t>
          </a:r>
        </a:p>
        <a:p>
          <a:r>
            <a:rPr lang="en-GB" b="0"/>
            <a:t>Development partners can support population</a:t>
          </a:r>
          <a:r>
            <a:rPr lang="en-GB"/>
            <a:t> data systems and urban planning initiatives to manage future growth effectively.</a:t>
          </a:r>
        </a:p>
        <a:p>
          <a:r>
            <a:rPr lang="en-GB"/>
            <a:t>2. </a:t>
          </a:r>
          <a:r>
            <a:rPr lang="en-GB" b="1"/>
            <a:t>Asia — Manage Population Density and Economic Transitions</a:t>
          </a:r>
        </a:p>
        <a:p>
          <a:r>
            <a:rPr lang="en-GB" b="0"/>
            <a:t>Policy focus: sustainable urbanization, labor mobility, and aging population management (e.g., Japan, Korea).</a:t>
          </a:r>
        </a:p>
        <a:p>
          <a:r>
            <a:rPr lang="en-GB" b="0"/>
            <a:t>Stakeholders in trade and business should view Asia as both a major labor source and consumer market requiring data-driven </a:t>
          </a:r>
          <a:r>
            <a:rPr lang="en-GB"/>
            <a:t>economic planning.</a:t>
          </a:r>
        </a:p>
        <a:p>
          <a:r>
            <a:rPr lang="en-GB" b="0"/>
            <a:t>3.</a:t>
          </a:r>
          <a:r>
            <a:rPr lang="en-GB" b="1"/>
            <a:t> Europe — Address Aging Populations and Migration</a:t>
          </a:r>
        </a:p>
        <a:p>
          <a:r>
            <a:rPr lang="en-GB" b="0"/>
            <a:t>Governments should strengthen family policies, encourage migration where appropriate, and sustain pension and healthcare systems for aging populations.</a:t>
          </a:r>
        </a:p>
        <a:p>
          <a:r>
            <a:rPr lang="en-GB" b="0"/>
            <a:t>EU policymakers may use this analysis to forecast labor </a:t>
          </a:r>
          <a:r>
            <a:rPr lang="en-GB"/>
            <a:t>shortages and migration pressures.</a:t>
          </a:r>
        </a:p>
        <a:p>
          <a:r>
            <a:rPr lang="en-GB"/>
            <a:t>4. </a:t>
          </a:r>
          <a:r>
            <a:rPr lang="en-GB" b="1"/>
            <a:t>North America — Leverage Migration and Balanced Growth</a:t>
          </a:r>
        </a:p>
        <a:p>
          <a:r>
            <a:rPr lang="en-GB" b="0"/>
            <a:t>Stakeholders (particularly policymakers) should ensure immigration frameworks remain flexible to sustain workforce replacement.</a:t>
          </a:r>
        </a:p>
        <a:p>
          <a:r>
            <a:rPr lang="en-GB" b="0"/>
            <a:t>Economic planners can anticipate steady consumption patterns </a:t>
          </a:r>
          <a:r>
            <a:rPr lang="en-GB"/>
            <a:t>in a mature but stable demographic region.</a:t>
          </a:r>
        </a:p>
        <a:p>
          <a:r>
            <a:rPr lang="en-GB" b="0"/>
            <a:t>5.</a:t>
          </a:r>
          <a:r>
            <a:rPr lang="en-GB" b="1"/>
            <a:t> South America — Strengthen Economic Stability Amid Moderate Growth</a:t>
          </a:r>
        </a:p>
        <a:p>
          <a:r>
            <a:rPr lang="en-GB" b="0"/>
            <a:t>Governments and development institutions should invest </a:t>
          </a:r>
          <a:r>
            <a:rPr lang="en-GB"/>
            <a:t>in inclusive growth and regional integration.</a:t>
          </a:r>
        </a:p>
        <a:p>
          <a:r>
            <a:rPr lang="en-GB"/>
            <a:t>Monitoring migration patterns (especially to North America and Europe) remains crucial to managing population dynamics.</a:t>
          </a:r>
        </a:p>
        <a:p>
          <a:r>
            <a:rPr lang="en-GB" b="1"/>
            <a:t>6. Oceania — Support Small Island Resilience</a:t>
          </a:r>
        </a:p>
        <a:p>
          <a:r>
            <a:rPr lang="en-GB" b="0"/>
            <a:t>Stakeholders should focus on climate adaptation, sustainable resource management, and migration support policies.</a:t>
          </a:r>
        </a:p>
        <a:p>
          <a:r>
            <a:rPr lang="en-GB" b="0"/>
            <a:t>Regional bodies can use these figures to design population retention and resilience programs for small island </a:t>
          </a:r>
          <a:r>
            <a:rPr lang="en-GB"/>
            <a:t>nations.</a:t>
          </a:r>
        </a:p>
        <a:p>
          <a:endParaRPr lang="en-GB"/>
        </a:p>
        <a:p>
          <a:endParaRPr lang="en-GB"/>
        </a:p>
        <a:p>
          <a:pPr algn="l"/>
          <a:endParaRPr lang="en-NG" sz="1100">
            <a:solidFill>
              <a:schemeClr val="bg1"/>
            </a:solidFill>
          </a:endParaRPr>
        </a:p>
      </xdr:txBody>
    </xdr:sp>
    <xdr:clientData/>
  </xdr:twoCellAnchor>
  <xdr:twoCellAnchor>
    <xdr:from>
      <xdr:col>8</xdr:col>
      <xdr:colOff>508000</xdr:colOff>
      <xdr:row>0</xdr:row>
      <xdr:rowOff>107950</xdr:rowOff>
    </xdr:from>
    <xdr:to>
      <xdr:col>16</xdr:col>
      <xdr:colOff>501650</xdr:colOff>
      <xdr:row>17</xdr:row>
      <xdr:rowOff>101600</xdr:rowOff>
    </xdr:to>
    <xdr:sp macro="" textlink="">
      <xdr:nvSpPr>
        <xdr:cNvPr id="3" name="Rectangle 2">
          <a:extLst>
            <a:ext uri="{FF2B5EF4-FFF2-40B4-BE49-F238E27FC236}">
              <a16:creationId xmlns:a16="http://schemas.microsoft.com/office/drawing/2014/main" id="{09DC33FA-6BF5-4F29-9937-10CB79A34C10}"/>
            </a:ext>
          </a:extLst>
        </xdr:cNvPr>
        <xdr:cNvSpPr/>
      </xdr:nvSpPr>
      <xdr:spPr>
        <a:xfrm>
          <a:off x="5384800" y="107950"/>
          <a:ext cx="4870450" cy="31242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accent1">
                  <a:lumMod val="50000"/>
                </a:schemeClr>
              </a:solidFill>
            </a:rPr>
            <a:t>Insight</a:t>
          </a:r>
        </a:p>
        <a:p>
          <a:r>
            <a:rPr lang="en-GB" b="0">
              <a:solidFill>
                <a:schemeClr val="accent1">
                  <a:lumMod val="50000"/>
                </a:schemeClr>
              </a:solidFill>
            </a:rPr>
            <a:t>The global population landscape between 1990 and 2024 reveals asymmetrical demographic trajectories. Asia remains the dominant population center, Africa emerges as the fastest-growing region, and Europe faces stagnation. The Americas maintain moderate stability, while Oceania represents minimal global share but notable resilience.</a:t>
          </a:r>
        </a:p>
        <a:p>
          <a:r>
            <a:rPr lang="en-GB" b="0">
              <a:solidFill>
                <a:schemeClr val="accent1">
                  <a:lumMod val="50000"/>
                </a:schemeClr>
              </a:solidFill>
            </a:rPr>
            <a:t>Collectively, these findings highlight an ongoing global demographic shift toward the Global South, where high fertility and economic potential intersect with developmental challenges.</a:t>
          </a:r>
        </a:p>
        <a:p>
          <a:r>
            <a:rPr lang="en-GB" b="0">
              <a:solidFill>
                <a:schemeClr val="accent1">
                  <a:lumMod val="50000"/>
                </a:schemeClr>
              </a:solidFill>
            </a:rPr>
            <a:t>For stakeholders, success lies in transforming population growth into socioeconomic opportunity, through strategic investments in education, healthcare, infrastructure, and sustainable policy frameworks that turn demographic trends into inclusive growth.</a:t>
          </a:r>
        </a:p>
        <a:p>
          <a:pPr algn="l"/>
          <a:endParaRPr lang="en-NG" sz="1100">
            <a:solidFill>
              <a:schemeClr val="accent1">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les" refreshedDate="45963.94895740741" createdVersion="7" refreshedVersion="7" minRefreshableVersion="3" recordCount="266" xr:uid="{00000000-000A-0000-FFFF-FFFF10000000}">
  <cacheSource type="worksheet">
    <worksheetSource name="Table1"/>
  </cacheSource>
  <cacheFields count="19">
    <cacheField name="Series Name" numFmtId="0">
      <sharedItems containsBlank="1"/>
    </cacheField>
    <cacheField name="Series Code" numFmtId="0">
      <sharedItems containsBlank="1"/>
    </cacheField>
    <cacheField name="Country Name" numFmtId="0">
      <sharedItems containsBlank="1" count="218">
        <s v="Afghanistan"/>
        <s v="Albania"/>
        <s v="Algeria"/>
        <s v="American Samoa"/>
        <s v="Andorra"/>
        <s v="Angola"/>
        <s v="Antigua and Barbuda"/>
        <s v="Argentina"/>
        <s v="Armenia"/>
        <s v="Aruba"/>
        <s v="Australia"/>
        <s v="Austria"/>
        <s v="Azerbaijan"/>
        <s v="Bahamas"/>
        <s v="Bahrain"/>
        <s v="Bangladesh"/>
        <s v="Barbados"/>
        <s v="Belarus"/>
        <s v="Belgium"/>
        <s v="Belize"/>
        <s v="Benin"/>
        <s v="Bermuda"/>
        <s v="Bhutan"/>
        <s v="Bolivia"/>
        <s v="Bosnia and Herzegovina"/>
        <s v="Botswana"/>
        <s v="Brazil"/>
        <s v="British Virgin Islands"/>
        <s v="Brunei Darussalam"/>
        <s v="Bulgaria"/>
        <s v="Burkina Faso"/>
        <s v="Burundi"/>
        <s v="Cabo Verde"/>
        <s v="Cambodia"/>
        <s v="Cameroon"/>
        <s v="Canada"/>
        <s v="Cayman Islands"/>
        <s v="Central African Republic"/>
        <s v="Chad"/>
        <s v="Channel Islands"/>
        <s v="Chile"/>
        <s v="China"/>
        <s v="Colombia"/>
        <s v="Comoros"/>
        <s v="Congo, Dem. Rep."/>
        <s v="Congo, Rep."/>
        <s v="Costa Rica"/>
        <s v="Côte d’Ivoire"/>
        <s v="Croatia"/>
        <s v="Cuba"/>
        <s v="Curacao"/>
        <s v="Cyprus"/>
        <s v="Czechia"/>
        <s v="Denmark"/>
        <s v="Djibouti"/>
        <s v="Dominica"/>
        <s v="Dominican Republic"/>
        <s v="Ecuador"/>
        <s v="Egypt"/>
        <s v="El Salvador"/>
        <s v="Equatorial Guinea"/>
        <s v="Eritrea"/>
        <s v="Estonia"/>
        <s v="Eswatini"/>
        <s v="Ethiopia"/>
        <s v="Faroe Islands"/>
        <s v="Fiji"/>
        <s v="Finland"/>
        <s v="France"/>
        <s v="French Polynesia"/>
        <s v="Gabon"/>
        <s v="Gambia"/>
        <s v="Georgia"/>
        <s v="Germany"/>
        <s v="Ghana"/>
        <s v="Gibraltar"/>
        <s v="Greece"/>
        <s v="Greenland"/>
        <s v="Grenada"/>
        <s v="Guam"/>
        <s v="Guatemala"/>
        <s v="Guinea"/>
        <s v="Guinea-Bissau"/>
        <s v="Guyana"/>
        <s v="Haiti"/>
        <s v="Honduras"/>
        <s v="Hong Kong SAR, China"/>
        <s v="Hungary"/>
        <s v="Iceland"/>
        <s v="India"/>
        <s v="Indonesia"/>
        <s v="Iran"/>
        <s v="Iraq"/>
        <s v="Ireland"/>
        <s v="Isle of Man"/>
        <s v="Israel"/>
        <s v="Italy"/>
        <s v="Jamaica"/>
        <s v="Japan"/>
        <s v="Jordan"/>
        <s v="Kazakhstan"/>
        <s v="Kenya"/>
        <s v="Kiribati"/>
        <s v="Korea, Dem. People's Rep."/>
        <s v="Korea, Rep."/>
        <s v="Kosovo"/>
        <s v="Kuwait"/>
        <s v="Kyrgyz Republic"/>
        <s v="Lao PDR"/>
        <s v="Latvia"/>
        <s v="Lebanon"/>
        <s v="Lesotho"/>
        <s v="Liberia"/>
        <s v="Libya"/>
        <s v="Liechtenstein"/>
        <s v="Lithuania"/>
        <s v="Luxembourg"/>
        <s v="Macao SAR, China"/>
        <s v="Madagascar"/>
        <s v="Malawi"/>
        <s v="Malaysia"/>
        <s v="Maldives"/>
        <s v="Mali"/>
        <s v="Malta"/>
        <s v="Marshall Islands"/>
        <s v="Mauritania"/>
        <s v="Mauritius"/>
        <s v="Mexico"/>
        <s v="Micronesia, Fed. Sts."/>
        <s v="Moldova"/>
        <s v="Monaco"/>
        <s v="Mongolia"/>
        <s v="Montenegro"/>
        <s v="Morocco"/>
        <s v="Mozambique"/>
        <s v="Myanmar"/>
        <s v="Namibia"/>
        <s v="Nauru"/>
        <s v="Nepal"/>
        <s v="Netherlands"/>
        <s v="New Caledonia"/>
        <s v="New Zealand"/>
        <s v="Nicaragua"/>
        <s v="Niger"/>
        <s v="Nigeria"/>
        <s v="North Macedonia"/>
        <s v="Northern Mariana Islands"/>
        <s v="Norway"/>
        <s v="Oman"/>
        <s v="Pakistan"/>
        <s v="Palau"/>
        <s v="Panama"/>
        <s v="Papua New Guinea"/>
        <s v="Paraguay"/>
        <s v="Peru"/>
        <s v="Philippines"/>
        <s v="Poland"/>
        <s v="Portugal"/>
        <s v="Puerto Rico (US)"/>
        <s v="Qatar"/>
        <s v="Romania"/>
        <s v="Russian Federation"/>
        <s v="Rwanda"/>
        <s v="Samoa"/>
        <s v="San Marino"/>
        <s v="Sao Tome and Principe"/>
        <s v="Saudi Arabia"/>
        <s v="Senegal"/>
        <s v="Serbia"/>
        <s v="Seychelles"/>
        <s v="Sierra Leone"/>
        <s v="Singapore"/>
        <s v="Sint Maarten (Dutch part)"/>
        <s v="Slovak Republic"/>
        <s v="Slovenia"/>
        <s v="Solomon Islands"/>
        <s v="Somalia"/>
        <s v="South Africa"/>
        <s v="South Sudan"/>
        <s v="Spain"/>
        <s v="Sri Lanka"/>
        <s v="St. Kitts and Nevis"/>
        <s v="St. Lucia"/>
        <s v="St. Martin (French part)"/>
        <s v="St. Vincent and the Grenadines"/>
        <s v="Sudan"/>
        <s v="Suriname"/>
        <s v="Sweden"/>
        <s v="Switzerland"/>
        <s v="Syrian Arab Republic"/>
        <s v="Tajikistan"/>
        <s v="Tanzania"/>
        <s v="Thailand"/>
        <s v="Timor-Leste"/>
        <s v="Togo"/>
        <s v="Tonga"/>
        <s v="Trinidad and Tobago"/>
        <s v="Tunisia"/>
        <s v="Turkiye"/>
        <s v="Turkmenistan"/>
        <s v="Turks and Caicos Islands"/>
        <s v="Tuvalu"/>
        <s v="Uganda"/>
        <s v="Ukraine"/>
        <s v="United Arab Emirates"/>
        <s v="United Kingdom"/>
        <s v="United States"/>
        <s v="Uruguay"/>
        <s v="Uzbekistan"/>
        <s v="Vanuatu"/>
        <s v="Venezuela"/>
        <s v="Viet Nam"/>
        <s v="Virgin Islands (U.S.)"/>
        <s v="West Bank and Gaza"/>
        <s v="Yemen, Rep."/>
        <s v="Zambia"/>
        <s v="Zimbabwe"/>
        <m/>
      </sharedItems>
    </cacheField>
    <cacheField name="Country Code" numFmtId="0">
      <sharedItems containsBlank="1"/>
    </cacheField>
    <cacheField name="Region" numFmtId="0">
      <sharedItems containsBlank="1" count="7">
        <s v="Asia"/>
        <s v="Europe"/>
        <s v="Africa"/>
        <s v="Oceania"/>
        <s v="North America"/>
        <s v="South America"/>
        <m/>
      </sharedItems>
    </cacheField>
    <cacheField name="Growth Rate %" numFmtId="2">
      <sharedItems containsString="0" containsBlank="1" containsNumber="1" minValue="-30.066263610287216" maxValue="549.24677685011648"/>
    </cacheField>
    <cacheField name="Avg Annual Growth Rate" numFmtId="2">
      <sharedItems containsString="0" containsBlank="1" containsNumber="1" minValue="-1.0463170745382722" maxValue="5.6560586593142892"/>
    </cacheField>
    <cacheField name="1990 [YR1990]" numFmtId="0">
      <sharedItems containsString="0" containsBlank="1" containsNumber="1" containsInteger="1" minValue="8798" maxValue="1135185000" count="218">
        <n v="12045660"/>
        <n v="3286542"/>
        <n v="25375810"/>
        <n v="46640"/>
        <n v="52597"/>
        <n v="11626360"/>
        <n v="63066"/>
        <n v="32755901"/>
        <n v="3552128"/>
        <n v="62753"/>
        <n v="17065128"/>
        <n v="7677850"/>
        <n v="7175200"/>
        <n v="275945"/>
        <n v="514797"/>
        <n v="111633717"/>
        <n v="258582"/>
        <n v="10189348"/>
        <n v="9967379"/>
        <n v="183076"/>
        <n v="5281479"/>
        <n v="57559"/>
        <n v="589287"/>
        <n v="7130142"/>
        <n v="4448652"/>
        <n v="1305696"/>
        <n v="149143223"/>
        <n v="15704"/>
        <n v="255292"/>
        <n v="8718289"/>
        <n v="9159356"/>
        <n v="5587052"/>
        <n v="375428"/>
        <n v="7374752"/>
        <n v="11331821"/>
        <n v="27691138"/>
        <n v="25999"/>
        <n v="2871910"/>
        <n v="5982833"/>
        <n v="143087"/>
        <n v="13437176"/>
        <n v="1135185000"/>
        <n v="32440069"/>
        <n v="444596"/>
        <n v="36684063"/>
        <n v="2380560"/>
        <n v="3121706"/>
        <n v="12189778"/>
        <n v="4777368"/>
        <n v="10631799"/>
        <n v="145400"/>
        <n v="788351"/>
        <n v="10333355"/>
        <n v="5140939"/>
        <n v="579538"/>
        <n v="69627"/>
        <n v="7151166"/>
        <n v="10473673"/>
        <n v="58396618"/>
        <n v="5399726"/>
        <n v="474274"/>
        <n v="2032737"/>
        <n v="1569174"/>
        <n v="872428"/>
        <n v="47609755"/>
        <n v="47740"/>
        <n v="773316"/>
        <n v="4986431"/>
        <n v="58261012"/>
        <n v="203776"/>
        <n v="983734"/>
        <n v="1054696"/>
        <n v="4802000"/>
        <n v="79433029"/>
        <n v="15394648"/>
        <n v="27200"/>
        <n v="10196792"/>
        <n v="55600"/>
        <n v="99957"/>
        <n v="138610"/>
        <n v="9024773"/>
        <n v="6434374"/>
        <n v="973669"/>
        <n v="749894"/>
        <n v="6854441"/>
        <n v="4980488"/>
        <n v="5704500"/>
        <n v="10373988"/>
        <n v="254826"/>
        <n v="864972221"/>
        <n v="183501098"/>
        <n v="58380092"/>
        <n v="17581206"/>
        <n v="3513974"/>
        <n v="68916"/>
        <n v="4660000"/>
        <n v="56719240"/>
        <n v="2379877"/>
        <n v="123478000"/>
        <n v="3621908"/>
        <n v="17154054"/>
        <n v="22892651"/>
        <n v="74855"/>
        <n v="21112137"/>
        <n v="42869283"/>
        <n v="1973790"/>
        <n v="1684819"/>
        <n v="4391236"/>
        <n v="4311955"/>
        <n v="2663151"/>
        <n v="3595175"/>
        <n v="1809696"/>
        <n v="2223667"/>
        <n v="4445239"/>
        <n v="28742"/>
        <n v="3697838"/>
        <n v="381850"/>
        <n v="334950"/>
        <n v="12055639"/>
        <n v="9545852"/>
        <n v="17833171"/>
        <n v="224762"/>
        <n v="9178830"/>
        <n v="354170"/>
        <n v="44629"/>
        <n v="1951878"/>
        <n v="1058775"/>
        <n v="82820170"/>
        <n v="100888"/>
        <n v="2977912"/>
        <n v="30358"/>
        <n v="2098710"/>
        <n v="606372"/>
        <n v="24375551"/>
        <n v="13094537"/>
        <n v="39817251"/>
        <n v="1369303"/>
        <n v="9622"/>
        <n v="19524573"/>
        <n v="14951510"/>
        <n v="176456"/>
        <n v="3329800"/>
        <n v="4162559"/>
        <n v="8286059"/>
        <n v="97120925"/>
        <n v="2063689"/>
        <n v="43342"/>
        <n v="4241473"/>
        <n v="1763954"/>
        <n v="116155576"/>
        <n v="15259"/>
        <n v="2455583"/>
        <n v="3896481"/>
        <n v="4035747"/>
        <n v="22014771"/>
        <n v="62854666"/>
        <n v="38110782"/>
        <n v="9983218"/>
        <n v="3537000"/>
        <n v="440175"/>
        <n v="23201835"/>
        <n v="147969406"/>
        <n v="7375307"/>
        <n v="169042"/>
        <n v="23475"/>
        <n v="122980"/>
        <n v="10640691"/>
        <n v="7720523"/>
        <n v="7897937"/>
        <n v="69507"/>
        <n v="4196828"/>
        <n v="3047132"/>
        <n v="28061"/>
        <n v="5299187"/>
        <n v="1998161"/>
        <n v="331435"/>
        <n v="7082811"/>
        <n v="40746268"/>
        <n v="4737633"/>
        <n v="38867322"/>
        <n v="16352458"/>
        <n v="40432"/>
        <n v="137857"/>
        <n v="28224"/>
        <n v="111812"/>
        <n v="22021481"/>
        <n v="412493"/>
        <n v="8558835"/>
        <n v="6715519"/>
        <n v="12579208"/>
        <n v="5398768"/>
        <n v="26110207"/>
        <n v="54738329"/>
        <n v="760345"/>
        <n v="3998761"/>
        <n v="99700"/>
        <n v="1252208"/>
        <n v="8324509"/>
        <n v="56015628"/>
        <n v="3760562"/>
        <n v="11688"/>
        <n v="8798"/>
        <n v="17569897"/>
        <n v="52054092"/>
        <n v="1898220"/>
        <n v="57247586"/>
        <n v="249623000"/>
        <n v="3104403"/>
        <n v="20464956"/>
        <n v="148063"/>
        <n v="19827010"/>
        <n v="65504552"/>
        <n v="103963"/>
        <n v="1978248"/>
        <n v="13887862"/>
        <n v="7786169"/>
        <n v="10137281"/>
        <m/>
      </sharedItems>
    </cacheField>
    <cacheField name="2000 [YR2000]" numFmtId="0">
      <sharedItems containsString="0" containsBlank="1" containsNumber="1" containsInteger="1" minValue="9544" maxValue="1262645000" count="218">
        <n v="20130327"/>
        <n v="3089027"/>
        <n v="30903893"/>
        <n v="56855"/>
        <n v="65685"/>
        <n v="16194869"/>
        <n v="74912"/>
        <n v="37213984"/>
        <n v="3221100"/>
        <n v="90588"/>
        <n v="19028802"/>
        <n v="8011566"/>
        <n v="8048600"/>
        <n v="323835"/>
        <n v="637582"/>
        <n v="134544304"/>
        <n v="262063"/>
        <n v="9979610"/>
        <n v="10251250"/>
        <n v="240799"/>
        <n v="7221619"/>
        <n v="61550"/>
        <n v="596863"/>
        <n v="8606326"/>
        <n v="4159771"/>
        <n v="1677382"/>
        <n v="174018282"/>
        <n v="20241"/>
        <n v="326424"/>
        <n v="8170172"/>
        <n v="11925546"/>
        <n v="6470194"/>
        <n v="453317"/>
        <n v="12462336"/>
        <n v="14912631"/>
        <n v="30685730"/>
        <n v="39674"/>
        <n v="3833416"/>
        <n v="8512093"/>
        <n v="148110"/>
        <n v="15503635"/>
        <n v="1262645000"/>
        <n v="39089934"/>
        <n v="536080"/>
        <n v="50507442"/>
        <n v="3151345"/>
        <n v="3937739"/>
        <n v="17699004"/>
        <n v="4468302"/>
        <n v="11109109"/>
        <n v="133860"/>
        <n v="947667"/>
        <n v="10255063"/>
        <n v="5339616"/>
        <n v="747318"/>
        <n v="68511"/>
        <n v="8584190"/>
        <n v="12689206"/>
        <n v="73083284"/>
        <n v="5943366"/>
        <n v="703279"/>
        <n v="2247031"/>
        <n v="1396985"/>
        <n v="1041414"/>
        <n v="67411494"/>
        <n v="45754"/>
        <n v="840909"/>
        <n v="5176209"/>
        <n v="60918661"/>
        <n v="240337"/>
        <n v="1275572"/>
        <n v="1455084"/>
        <n v="4077131"/>
        <n v="82211508"/>
        <n v="19637087"/>
        <n v="27709"/>
        <n v="10805808"/>
        <n v="56185"/>
        <n v="107451"/>
        <n v="160065"/>
        <n v="11697592"/>
        <n v="8428832"/>
        <n v="1234741"/>
        <n v="764832"/>
        <n v="8303151"/>
        <n v="6577773"/>
        <n v="6665000"/>
        <n v="10210971"/>
        <n v="281205"/>
        <n v="1057922733"/>
        <n v="216077790"/>
        <n v="66418659"/>
        <n v="24424056"/>
        <n v="3805174"/>
        <n v="75659"/>
        <n v="6289000"/>
        <n v="56942108"/>
        <n v="2607826"/>
        <n v="126843000"/>
        <n v="5386945"/>
        <n v="15501103"/>
        <n v="30642890"/>
        <n v="88613"/>
        <n v="23665910"/>
        <n v="47008111"/>
        <n v="1802493"/>
        <n v="1954709"/>
        <n v="4898362"/>
        <n v="5431212"/>
        <n v="2367550"/>
        <n v="4329340"/>
        <n v="2003913"/>
        <n v="2928117"/>
        <n v="5305021"/>
        <n v="32645"/>
        <n v="3499536"/>
        <n v="436300"/>
        <n v="430600"/>
        <n v="16516338"/>
        <n v="11315942"/>
        <n v="22967816"/>
        <n v="282019"/>
        <n v="11559290"/>
        <n v="390087"/>
        <n v="50706"/>
        <n v="2613441"/>
        <n v="1186873"/>
        <n v="98625552"/>
        <n v="112044"/>
        <n v="2924668"/>
        <n v="32455"/>
        <n v="2388299"/>
        <n v="604950"/>
        <n v="28423435"/>
        <n v="18129653"/>
        <n v="45290841"/>
        <n v="1818647"/>
        <n v="10168"/>
        <n v="24546509"/>
        <n v="15925513"/>
        <n v="223098"/>
        <n v="3857700"/>
        <n v="5022633"/>
        <n v="11509630"/>
        <n v="126382494"/>
        <n v="2026350"/>
        <n v="68356"/>
        <n v="4490967"/>
        <n v="2282131"/>
        <n v="154879127"/>
        <n v="19178"/>
        <n v="3010369"/>
        <n v="5537064"/>
        <n v="5100868"/>
        <n v="26598331"/>
        <n v="79625397"/>
        <n v="38258629"/>
        <n v="10289898"/>
        <n v="3810605"/>
        <n v="644989"/>
        <n v="22442971"/>
        <n v="146596869"/>
        <n v="8213931"/>
        <n v="181685"/>
        <n v="26799"/>
        <n v="144018"/>
        <n v="16177722"/>
        <n v="9968260"/>
        <n v="7516346"/>
        <n v="81131"/>
        <n v="4423611"/>
        <n v="4027887"/>
        <n v="30773"/>
        <n v="5388720"/>
        <n v="1988925"/>
        <n v="440469"/>
        <n v="8838713"/>
        <n v="47159719"/>
        <n v="6032267"/>
        <n v="40567864"/>
        <n v="19293054"/>
        <n v="45248"/>
        <n v="158616"/>
        <n v="29996"/>
        <n v="113545"/>
        <n v="27816745"/>
        <n v="476643"/>
        <n v="8872109"/>
        <n v="7184250"/>
        <n v="16637888"/>
        <n v="6284735"/>
        <n v="34260139"/>
        <n v="63007815"/>
        <n v="745088"/>
        <n v="5140037"/>
        <n v="102677"/>
        <n v="1319774"/>
        <n v="9764935"/>
        <n v="65425961"/>
        <n v="4582677"/>
        <n v="18730"/>
        <n v="9544"/>
        <n v="24000150"/>
        <n v="49556660"/>
        <n v="3493575"/>
        <n v="58892514"/>
        <n v="282162411"/>
        <n v="3266206"/>
        <n v="24787054"/>
        <n v="186281"/>
        <n v="24526708"/>
        <n v="77154011"/>
        <n v="108642"/>
        <n v="2922153"/>
        <n v="19624141"/>
        <n v="10017631"/>
        <n v="11892055"/>
        <m/>
      </sharedItems>
    </cacheField>
    <cacheField name="2015 [YR2015]" numFmtId="0">
      <sharedItems containsString="0" containsBlank="1" containsNumber="1" containsInteger="1" minValue="10954" maxValue="1379860000"/>
    </cacheField>
    <cacheField name="2016 [YR2016]" numFmtId="0">
      <sharedItems containsString="0" containsBlank="1" containsNumber="1" containsInteger="1" minValue="10930" maxValue="1387790000"/>
    </cacheField>
    <cacheField name="2017 [YR2017]" numFmtId="0">
      <sharedItems containsString="0" containsBlank="1" containsNumber="1" containsInteger="1" minValue="10869" maxValue="1396215000"/>
    </cacheField>
    <cacheField name="2018 [YR2018]" numFmtId="0">
      <sharedItems containsString="0" containsBlank="1" containsNumber="1" containsInteger="1" minValue="10751" maxValue="1402760000"/>
    </cacheField>
    <cacheField name="2019 [YR2019]" numFmtId="0">
      <sharedItems containsString="0" containsBlank="1" containsNumber="1" containsInteger="1" minValue="10581" maxValue="1407745000"/>
    </cacheField>
    <cacheField name="2020 [YR2020]" numFmtId="0">
      <sharedItems containsString="0" containsBlank="1" containsNumber="1" containsInteger="1" minValue="10399" maxValue="1411100000"/>
    </cacheField>
    <cacheField name="2021 [YR2021]" numFmtId="0">
      <sharedItems containsString="0" containsBlank="1" containsNumber="1" containsInteger="1" minValue="10194" maxValue="1414203896"/>
    </cacheField>
    <cacheField name="2022 [YR2022]" numFmtId="0">
      <sharedItems containsString="0" containsBlank="1" containsNumber="1" containsInteger="1" minValue="9992" maxValue="1425423212"/>
    </cacheField>
    <cacheField name="2023 [YR2023]" numFmtId="0">
      <sharedItems containsString="0" containsBlank="1" containsNumber="1" containsInteger="1" minValue="9816" maxValue="1438069596"/>
    </cacheField>
    <cacheField name="2024 [YR2024]" numFmtId="0">
      <sharedItems containsString="0" containsBlank="1" containsNumber="1" containsInteger="1" minValue="9646" maxValue="1450935791"/>
    </cacheField>
  </cacheFields>
  <extLst>
    <ext xmlns:x14="http://schemas.microsoft.com/office/spreadsheetml/2009/9/main" uri="{725AE2AE-9491-48be-B2B4-4EB974FC3084}">
      <x14:pivotCacheDefinition pivotCacheId="412546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6">
  <r>
    <s v="Population, total"/>
    <s v="SP.POP.TOTL"/>
    <x v="0"/>
    <s v="AFG"/>
    <x v="0"/>
    <n v="254.04861169915139"/>
    <n v="3.7884219316682621"/>
    <x v="0"/>
    <x v="0"/>
    <n v="33831764"/>
    <n v="34700612"/>
    <n v="35688935"/>
    <n v="36743039"/>
    <n v="37856121"/>
    <n v="39068979"/>
    <n v="40000412"/>
    <n v="40578842"/>
    <n v="41454761"/>
    <n v="42647492"/>
  </r>
  <r>
    <s v="Population, total"/>
    <s v="SP.POP.TOTL"/>
    <x v="1"/>
    <s v="ALB"/>
    <x v="1"/>
    <n v="-17.402029245328375"/>
    <n v="-0.56073103979109584"/>
    <x v="1"/>
    <x v="1"/>
    <n v="2880703"/>
    <n v="2876101"/>
    <n v="2873457"/>
    <n v="2866376"/>
    <n v="2854191"/>
    <n v="2837849"/>
    <n v="2811666"/>
    <n v="2777689"/>
    <n v="2745972"/>
    <n v="2714617"/>
  </r>
  <r>
    <s v="Population, total"/>
    <s v="SP.POP.TOTL"/>
    <x v="2"/>
    <s v="DZA"/>
    <x v="2"/>
    <n v="84.483994796619299"/>
    <n v="1.81747309892899"/>
    <x v="2"/>
    <x v="2"/>
    <n v="40019529"/>
    <n v="40850721"/>
    <n v="41689299"/>
    <n v="42505035"/>
    <n v="43294546"/>
    <n v="44042091"/>
    <n v="44761099"/>
    <n v="45477389"/>
    <n v="46164219"/>
    <n v="46814308"/>
  </r>
  <r>
    <s v="Population, total"/>
    <s v="SP.POP.TOTL"/>
    <x v="3"/>
    <s v="ASM"/>
    <x v="3"/>
    <n v="0.26801029159519724"/>
    <n v="7.8724211655112342E-3"/>
    <x v="3"/>
    <x v="3"/>
    <n v="52878"/>
    <n v="52245"/>
    <n v="51586"/>
    <n v="50908"/>
    <n v="50209"/>
    <n v="49761"/>
    <n v="49225"/>
    <n v="48342"/>
    <n v="47521"/>
    <n v="46765"/>
  </r>
  <r>
    <s v="Population, total"/>
    <s v="SP.POP.TOTL"/>
    <x v="4"/>
    <s v="AND"/>
    <x v="1"/>
    <n v="55.784550449645423"/>
    <n v="1.312371632839282"/>
    <x v="4"/>
    <x v="4"/>
    <n v="72174"/>
    <n v="72181"/>
    <n v="73763"/>
    <n v="75162"/>
    <n v="76474"/>
    <n v="77380"/>
    <n v="78364"/>
    <n v="79705"/>
    <n v="80856"/>
    <n v="81938"/>
  </r>
  <r>
    <s v="Population, total"/>
    <s v="SP.POP.TOTL"/>
    <x v="5"/>
    <s v="AGO"/>
    <x v="2"/>
    <n v="225.86165403445273"/>
    <n v="3.5354829061696291"/>
    <x v="5"/>
    <x v="5"/>
    <n v="28157798"/>
    <n v="29183070"/>
    <n v="30234839"/>
    <n v="31297155"/>
    <n v="32375632"/>
    <n v="33451132"/>
    <n v="34532429"/>
    <n v="35635029"/>
    <n v="36749906"/>
    <n v="37885849"/>
  </r>
  <r>
    <s v="Population, total"/>
    <s v="SP.POP.TOTL"/>
    <x v="6"/>
    <s v="ATG"/>
    <x v="4"/>
    <n v="48.688675355976279"/>
    <n v="1.1735518527364652"/>
    <x v="6"/>
    <x v="6"/>
    <n v="89409"/>
    <n v="89969"/>
    <n v="90468"/>
    <n v="90926"/>
    <n v="91364"/>
    <n v="91846"/>
    <n v="92349"/>
    <n v="92840"/>
    <n v="93316"/>
    <n v="93772"/>
  </r>
  <r>
    <s v="Population, total"/>
    <s v="SP.POP.TOTL"/>
    <x v="7"/>
    <s v="ARG"/>
    <x v="5"/>
    <n v="39.505120008758112"/>
    <n v="0.98401910809804427"/>
    <x v="7"/>
    <x v="7"/>
    <n v="43477012"/>
    <n v="43900313"/>
    <n v="44288894"/>
    <n v="44654882"/>
    <n v="44973465"/>
    <n v="45191965"/>
    <n v="45312281"/>
    <n v="45407904"/>
    <n v="45538401"/>
    <n v="45696159"/>
  </r>
  <r>
    <s v="Population, total"/>
    <s v="SP.POP.TOTL"/>
    <x v="8"/>
    <s v="ARM"/>
    <x v="0"/>
    <n v="-14.60048736982451"/>
    <n v="-0.46312950349640669"/>
    <x v="8"/>
    <x v="8"/>
    <n v="3004600"/>
    <n v="2992300"/>
    <n v="2979400"/>
    <n v="2969000"/>
    <n v="2962500"/>
    <n v="2961500"/>
    <n v="2962300"/>
    <n v="2969200"/>
    <n v="2964300"/>
    <n v="3033500"/>
  </r>
  <r>
    <s v="Population, total"/>
    <s v="SP.POP.TOTL"/>
    <x v="9"/>
    <s v="ABW"/>
    <x v="4"/>
    <n v="71.504151195958755"/>
    <n v="1.5992332642552398"/>
    <x v="9"/>
    <x v="9"/>
    <n v="107906"/>
    <n v="108727"/>
    <n v="108735"/>
    <n v="108908"/>
    <n v="109203"/>
    <n v="108587"/>
    <n v="107700"/>
    <n v="107310"/>
    <n v="107359"/>
    <n v="107624"/>
  </r>
  <r>
    <s v="Population, total"/>
    <s v="SP.POP.TOTL"/>
    <x v="10"/>
    <s v="AUS"/>
    <x v="3"/>
    <n v="59.417550222887286"/>
    <n v="1.3810873843767002"/>
    <x v="10"/>
    <x v="10"/>
    <n v="23815995"/>
    <n v="24190907"/>
    <n v="24592588"/>
    <n v="24963258"/>
    <n v="25334826"/>
    <n v="25649248"/>
    <n v="25685412"/>
    <n v="26014399"/>
    <n v="26652777"/>
    <n v="27204809"/>
  </r>
  <r>
    <s v="Population, total"/>
    <s v="SP.POP.TOTL"/>
    <x v="11"/>
    <s v="AUT"/>
    <x v="1"/>
    <n v="19.544950734906255"/>
    <n v="0.52644638892134221"/>
    <x v="11"/>
    <x v="11"/>
    <n v="8642699"/>
    <n v="8736668"/>
    <n v="8797566"/>
    <n v="8840521"/>
    <n v="8879920"/>
    <n v="8916864"/>
    <n v="8955797"/>
    <n v="9041851"/>
    <n v="9131761"/>
    <n v="9178482"/>
  </r>
  <r>
    <s v="Population, total"/>
    <s v="SP.POP.TOTL"/>
    <x v="12"/>
    <s v="AZE"/>
    <x v="0"/>
    <n v="42.196036347418882"/>
    <n v="1.0407801725671684"/>
    <x v="12"/>
    <x v="12"/>
    <n v="9649341"/>
    <n v="9757812"/>
    <n v="9854033"/>
    <n v="9939771"/>
    <n v="10024283"/>
    <n v="10093121"/>
    <n v="10137750"/>
    <n v="10141756"/>
    <n v="10153958"/>
    <n v="10202850"/>
  </r>
  <r>
    <s v="Population, total"/>
    <s v="SP.POP.TOTL"/>
    <x v="13"/>
    <s v="BHS"/>
    <x v="4"/>
    <n v="45.421370200583446"/>
    <n v="1.1074560498010255"/>
    <x v="13"/>
    <x v="13"/>
    <n v="385346"/>
    <n v="388055"/>
    <n v="390485"/>
    <n v="392717"/>
    <n v="394675"/>
    <n v="395863"/>
    <n v="396373"/>
    <n v="397538"/>
    <n v="399440"/>
    <n v="401283"/>
  </r>
  <r>
    <s v="Population, total"/>
    <s v="SP.POP.TOTL"/>
    <x v="14"/>
    <s v="BHR"/>
    <x v="0"/>
    <n v="208.60125447506493"/>
    <n v="3.3698889285279643"/>
    <x v="14"/>
    <x v="14"/>
    <n v="1370322"/>
    <n v="1423726"/>
    <n v="1501116"/>
    <n v="1503091"/>
    <n v="1483756"/>
    <n v="1472204"/>
    <n v="1504365"/>
    <n v="1524693"/>
    <n v="1577059"/>
    <n v="1588670"/>
  </r>
  <r>
    <s v="Population, total"/>
    <s v="SP.POP.TOTL"/>
    <x v="15"/>
    <s v="BGD"/>
    <x v="0"/>
    <n v="55.474858908442513"/>
    <n v="1.3064422724297975"/>
    <x v="15"/>
    <x v="15"/>
    <n v="159383179"/>
    <n v="160811932"/>
    <n v="162186147"/>
    <n v="163523103"/>
    <n v="164913055"/>
    <n v="166298024"/>
    <n v="167658854"/>
    <n v="169384897"/>
    <n v="171466990"/>
    <n v="173562364"/>
  </r>
  <r>
    <s v="Population, total"/>
    <s v="SP.POP.TOTL"/>
    <x v="16"/>
    <s v="BRB"/>
    <x v="4"/>
    <n v="9.2369151758436399"/>
    <n v="0.26018752308858417"/>
    <x v="16"/>
    <x v="16"/>
    <n v="278990"/>
    <n v="279598"/>
    <n v="280171"/>
    <n v="280711"/>
    <n v="281207"/>
    <n v="281698"/>
    <n v="282147"/>
    <n v="282318"/>
    <n v="282336"/>
    <n v="282467"/>
  </r>
  <r>
    <s v="Population, total"/>
    <s v="SP.POP.TOTL"/>
    <x v="17"/>
    <s v="BLR"/>
    <x v="1"/>
    <n v="-10.360191839556368"/>
    <n v="-0.32116163142189569"/>
    <x v="17"/>
    <x v="17"/>
    <n v="9461076"/>
    <n v="9469379"/>
    <n v="9458989"/>
    <n v="9438785"/>
    <n v="9419758"/>
    <n v="9379952"/>
    <n v="9302585"/>
    <n v="9228071"/>
    <n v="9178298"/>
    <n v="9133712"/>
  </r>
  <r>
    <s v="Population, total"/>
    <s v="SP.POP.TOTL"/>
    <x v="18"/>
    <s v="BEL"/>
    <x v="1"/>
    <n v="19.157142514596867"/>
    <n v="0.51683974215479545"/>
    <x v="18"/>
    <x v="18"/>
    <n v="11274196"/>
    <n v="11331422"/>
    <n v="11375158"/>
    <n v="11427054"/>
    <n v="11488980"/>
    <n v="11538604"/>
    <n v="11586195"/>
    <n v="11680210"/>
    <n v="11787423"/>
    <n v="11876844"/>
  </r>
  <r>
    <s v="Population, total"/>
    <s v="SP.POP.TOTL"/>
    <x v="19"/>
    <s v="BLZ"/>
    <x v="4"/>
    <n v="127.81358561471738"/>
    <n v="2.4511995335023684"/>
    <x v="19"/>
    <x v="19"/>
    <n v="356333"/>
    <n v="364705"/>
    <n v="373202"/>
    <n v="380226"/>
    <n v="385829"/>
    <n v="390812"/>
    <n v="395346"/>
    <n v="402733"/>
    <n v="411106"/>
    <n v="417072"/>
  </r>
  <r>
    <s v="Population, total"/>
    <s v="SP.POP.TOTL"/>
    <x v="20"/>
    <s v="BEN"/>
    <x v="2"/>
    <n v="173.83852136873023"/>
    <n v="3.0071773275884839"/>
    <x v="20"/>
    <x v="20"/>
    <n v="11360681"/>
    <n v="11697842"/>
    <n v="12039780"/>
    <n v="12383347"/>
    <n v="12726755"/>
    <n v="13070169"/>
    <n v="13413417"/>
    <n v="13759501"/>
    <n v="14111034"/>
    <n v="14462724"/>
  </r>
  <r>
    <s v="Population, total"/>
    <s v="SP.POP.TOTL"/>
    <x v="21"/>
    <s v="BMU"/>
    <x v="4"/>
    <n v="12.295210132212164"/>
    <n v="0.34164410828891878"/>
    <x v="21"/>
    <x v="21"/>
    <n v="63464"/>
    <n v="63449"/>
    <n v="63578"/>
    <n v="63831"/>
    <n v="64107"/>
    <n v="64382"/>
    <n v="64648"/>
    <n v="64749"/>
    <n v="64698"/>
    <n v="64636"/>
  </r>
  <r>
    <s v="Population, total"/>
    <s v="SP.POP.TOTL"/>
    <x v="22"/>
    <s v="BTN"/>
    <x v="0"/>
    <n v="34.318931182938023"/>
    <n v="0.87156107866495081"/>
    <x v="22"/>
    <x v="22"/>
    <n v="740618"/>
    <n v="747866"/>
    <n v="754335"/>
    <n v="759759"/>
    <n v="764824"/>
    <n v="770006"/>
    <n v="775442"/>
    <n v="780914"/>
    <n v="786385"/>
    <n v="791524"/>
  </r>
  <r>
    <s v="Population, total"/>
    <s v="SP.POP.TOTL"/>
    <x v="23"/>
    <s v="BOL"/>
    <x v="5"/>
    <n v="74.096322345333377"/>
    <n v="1.6440700848481704"/>
    <x v="23"/>
    <x v="23"/>
    <n v="11014705"/>
    <n v="11180020"/>
    <n v="11344587"/>
    <n v="11508368"/>
    <n v="11671386"/>
    <n v="11816299"/>
    <n v="11937360"/>
    <n v="12077154"/>
    <n v="12244159"/>
    <n v="12413315"/>
  </r>
  <r>
    <s v="Population, total"/>
    <s v="SP.POP.TOTL"/>
    <x v="24"/>
    <s v="BIH"/>
    <x v="1"/>
    <n v="-28.871644713949301"/>
    <n v="-0.99700870224357363"/>
    <x v="24"/>
    <x v="24"/>
    <n v="3518541"/>
    <n v="3473003"/>
    <n v="3428682"/>
    <n v="3387000"/>
    <n v="3345533"/>
    <n v="3299349"/>
    <n v="3244907"/>
    <n v="3204802"/>
    <n v="3185073"/>
    <n v="3164253"/>
  </r>
  <r>
    <s v="Population, total"/>
    <s v="SP.POP.TOTL"/>
    <x v="25"/>
    <s v="BWA"/>
    <x v="2"/>
    <n v="93.087747837168834"/>
    <n v="1.9540660164939272"/>
    <x v="25"/>
    <x v="25"/>
    <n v="2203273"/>
    <n v="2234776"/>
    <n v="2266747"/>
    <n v="2299141"/>
    <n v="2332083"/>
    <n v="2365894"/>
    <n v="2401441"/>
    <n v="2439892"/>
    <n v="2480244"/>
    <n v="2521139"/>
  </r>
  <r>
    <s v="Population, total"/>
    <s v="SP.POP.TOTL"/>
    <x v="26"/>
    <s v="BRA"/>
    <x v="5"/>
    <n v="42.14428837976768"/>
    <n v="1.0396984888491057"/>
    <x v="26"/>
    <x v="26"/>
    <n v="201675532"/>
    <n v="203218114"/>
    <n v="204703445"/>
    <n v="206107261"/>
    <n v="207455459"/>
    <n v="208660842"/>
    <n v="209550294"/>
    <n v="210306415"/>
    <n v="211140729"/>
    <n v="211998573"/>
  </r>
  <r>
    <s v="Population, total"/>
    <s v="SP.POP.TOTL"/>
    <x v="27"/>
    <s v="VGB"/>
    <x v="4"/>
    <n v="151.34360672440144"/>
    <n v="2.7478122850291165"/>
    <x v="27"/>
    <x v="27"/>
    <n v="34498"/>
    <n v="33878"/>
    <n v="32699"/>
    <n v="34657"/>
    <n v="36395"/>
    <n v="37135"/>
    <n v="37809"/>
    <n v="38319"/>
    <n v="38985"/>
    <n v="39471"/>
  </r>
  <r>
    <s v="Population, total"/>
    <s v="SP.POP.TOTL"/>
    <x v="28"/>
    <s v="BRN"/>
    <x v="0"/>
    <n v="81.251664760352853"/>
    <n v="1.7645530539493359"/>
    <x v="28"/>
    <x v="28"/>
    <n v="422212"/>
    <n v="427564"/>
    <n v="432772"/>
    <n v="437810"/>
    <n v="442680"/>
    <n v="447404"/>
    <n v="451721"/>
    <n v="455370"/>
    <n v="458949"/>
    <n v="462721"/>
  </r>
  <r>
    <s v="Population, total"/>
    <s v="SP.POP.TOTL"/>
    <x v="29"/>
    <s v="BGR"/>
    <x v="1"/>
    <n v="-26.082216361490197"/>
    <n v="-0.88493397652712469"/>
    <x v="29"/>
    <x v="29"/>
    <n v="6984225"/>
    <n v="6894139"/>
    <n v="6803468"/>
    <n v="6710798"/>
    <n v="6616726"/>
    <n v="6550696"/>
    <n v="6507301"/>
    <n v="6465097"/>
    <n v="6446596"/>
    <n v="6444366"/>
  </r>
  <r>
    <s v="Population, total"/>
    <s v="SP.POP.TOTL"/>
    <x v="30"/>
    <s v="BFA"/>
    <x v="2"/>
    <n v="157.10083765714532"/>
    <n v="2.8162754572393478"/>
    <x v="30"/>
    <x v="30"/>
    <n v="18777487"/>
    <n v="19334856"/>
    <n v="19894407"/>
    <n v="20438288"/>
    <n v="20961952"/>
    <n v="21478690"/>
    <n v="21995243"/>
    <n v="22509038"/>
    <n v="23025776"/>
    <n v="23548781"/>
  </r>
  <r>
    <s v="Population, total"/>
    <s v="SP.POP.TOTL"/>
    <x v="31"/>
    <s v="BDI"/>
    <x v="2"/>
    <n v="151.43467431482648"/>
    <n v="2.7489070309040908"/>
    <x v="31"/>
    <x v="31"/>
    <n v="11047580"/>
    <n v="11239451"/>
    <n v="11506762"/>
    <n v="11859446"/>
    <n v="12255336"/>
    <n v="12617036"/>
    <n v="12965481"/>
    <n v="13321097"/>
    <n v="13689450"/>
    <n v="14047786"/>
  </r>
  <r>
    <s v="Population, total"/>
    <s v="SP.POP.TOTL"/>
    <x v="32"/>
    <s v="CPV"/>
    <x v="2"/>
    <n v="39.807632888330119"/>
    <n v="0.99045295672246514"/>
    <x v="32"/>
    <x v="32"/>
    <n v="512394"/>
    <n v="512554"/>
    <n v="512893"/>
    <n v="513415"/>
    <n v="514104"/>
    <n v="514679"/>
    <n v="516649"/>
    <n v="519741"/>
    <n v="522331"/>
    <n v="524877"/>
  </r>
  <r>
    <s v="Population, total"/>
    <s v="SP.POP.TOTL"/>
    <x v="33"/>
    <s v="KHM"/>
    <x v="0"/>
    <n v="139.17822592542771"/>
    <n v="2.5979945328681309"/>
    <x v="33"/>
    <x v="33"/>
    <n v="15623251"/>
    <n v="15852803"/>
    <n v="16073372"/>
    <n v="16274522"/>
    <n v="16481304"/>
    <n v="16725474"/>
    <n v="16974305"/>
    <n v="17201724"/>
    <n v="17423880"/>
    <n v="17638801"/>
  </r>
  <r>
    <s v="Population, total"/>
    <s v="SP.POP.TOTL"/>
    <x v="34"/>
    <s v="CMR"/>
    <x v="2"/>
    <n v="157.00850728228056"/>
    <n v="2.8151892823523816"/>
    <x v="34"/>
    <x v="34"/>
    <n v="22763414"/>
    <n v="23454161"/>
    <n v="24128601"/>
    <n v="24806383"/>
    <n v="25506095"/>
    <n v="26210558"/>
    <n v="26915758"/>
    <n v="27632771"/>
    <n v="28372687"/>
    <n v="29123744"/>
  </r>
  <r>
    <s v="Population, total"/>
    <s v="SP.POP.TOTL"/>
    <x v="35"/>
    <s v="CAN"/>
    <x v="4"/>
    <n v="49.104016599101129"/>
    <n v="1.1818527912198951"/>
    <x v="35"/>
    <x v="35"/>
    <n v="35704498"/>
    <n v="36110803"/>
    <n v="36545075"/>
    <n v="37072620"/>
    <n v="37618495"/>
    <n v="38028638"/>
    <n v="38239864"/>
    <n v="38935934"/>
    <n v="40083484"/>
    <n v="41288599"/>
  </r>
  <r>
    <s v="Population, total"/>
    <s v="SP.POP.TOTL"/>
    <x v="36"/>
    <s v="CYM"/>
    <x v="4"/>
    <n v="186.38409169583446"/>
    <n v="3.1429796126973164"/>
    <x v="36"/>
    <x v="36"/>
    <n v="61642"/>
    <n v="63100"/>
    <n v="64535"/>
    <n v="65941"/>
    <n v="67327"/>
    <n v="68684"/>
    <n v="70108"/>
    <n v="71591"/>
    <n v="73038"/>
    <n v="74457"/>
  </r>
  <r>
    <s v="Population, total"/>
    <s v="SP.POP.TOTL"/>
    <x v="37"/>
    <s v="CAF"/>
    <x v="2"/>
    <n v="85.614799906682322"/>
    <n v="1.8357744800385767"/>
    <x v="37"/>
    <x v="37"/>
    <n v="4629320"/>
    <n v="4713663"/>
    <n v="4793511"/>
    <n v="4878657"/>
    <n v="4944703"/>
    <n v="5026628"/>
    <n v="5112100"/>
    <n v="5098039"/>
    <n v="5152421"/>
    <n v="5330690"/>
  </r>
  <r>
    <s v="Population, total"/>
    <s v="SP.POP.TOTL"/>
    <x v="38"/>
    <s v="TCD"/>
    <x v="2"/>
    <n v="239.28948041839041"/>
    <n v="3.6585218532269481"/>
    <x v="38"/>
    <x v="38"/>
    <n v="14647621"/>
    <n v="15114655"/>
    <n v="15622759"/>
    <n v="16156531"/>
    <n v="16685223"/>
    <n v="17224679"/>
    <n v="17828273"/>
    <n v="18455316"/>
    <n v="19319064"/>
    <n v="20299123"/>
  </r>
  <r>
    <s v="Population, total"/>
    <s v="SP.POP.TOTL"/>
    <x v="39"/>
    <s v="CHI"/>
    <x v="1"/>
    <n v="17.499143877501101"/>
    <n v="0.47542321818967448"/>
    <x v="39"/>
    <x v="39"/>
    <n v="163454"/>
    <n v="163883"/>
    <n v="164319"/>
    <n v="164949"/>
    <n v="165639"/>
    <n v="166235"/>
    <n v="166741"/>
    <n v="167215"/>
    <n v="167691"/>
    <n v="168126"/>
  </r>
  <r>
    <s v="Population, total"/>
    <s v="SP.POP.TOTL"/>
    <x v="40"/>
    <s v="CHL"/>
    <x v="5"/>
    <n v="47.090214491497321"/>
    <n v="1.1413939211086355"/>
    <x v="40"/>
    <x v="40"/>
    <n v="18047625"/>
    <n v="18267221"/>
    <n v="18558868"/>
    <n v="18893191"/>
    <n v="19197744"/>
    <n v="19370624"/>
    <n v="19456334"/>
    <n v="19553036"/>
    <n v="19658835"/>
    <n v="19764771"/>
  </r>
  <r>
    <s v="Population, total"/>
    <s v="SP.POP.TOTL"/>
    <x v="41"/>
    <s v="CHN"/>
    <x v="0"/>
    <n v="24.118535745275"/>
    <n v="0.6375142808793921"/>
    <x v="41"/>
    <x v="41"/>
    <n v="1379860000"/>
    <n v="1387790000"/>
    <n v="1396215000"/>
    <n v="1402760000"/>
    <n v="1407745000"/>
    <n v="1411100000"/>
    <n v="1412360000"/>
    <n v="1412175000"/>
    <n v="1410710000"/>
    <n v="1408975000"/>
  </r>
  <r>
    <s v="Population, total"/>
    <s v="SP.POP.TOTL"/>
    <x v="42"/>
    <s v="COL"/>
    <x v="5"/>
    <n v="63.027899231657003"/>
    <n v="1.4478851817839367"/>
    <x v="42"/>
    <x v="42"/>
    <n v="46969940"/>
    <n v="47437512"/>
    <n v="48131078"/>
    <n v="49024465"/>
    <n v="49907985"/>
    <n v="50629997"/>
    <n v="51188173"/>
    <n v="51737944"/>
    <n v="52321152"/>
    <n v="52886363"/>
  </r>
  <r>
    <s v="Population, total"/>
    <s v="SP.POP.TOTL"/>
    <x v="43"/>
    <s v="COM"/>
    <x v="2"/>
    <n v="94.924830632754237"/>
    <n v="1.9824649661737359"/>
    <x v="43"/>
    <x v="43"/>
    <n v="726682"/>
    <n v="741741"/>
    <n v="756669"/>
    <n v="771590"/>
    <n v="786578"/>
    <n v="802163"/>
    <n v="818174"/>
    <n v="834188"/>
    <n v="850387"/>
    <n v="866628"/>
  </r>
  <r>
    <s v="Population, total"/>
    <s v="SP.POP.TOTL"/>
    <x v="44"/>
    <s v="COD"/>
    <x v="2"/>
    <n v="197.88484716101377"/>
    <n v="3.2624917216808047"/>
    <x v="44"/>
    <x v="44"/>
    <n v="81035531"/>
    <n v="83956415"/>
    <n v="87083398"/>
    <n v="90047644"/>
    <n v="92947442"/>
    <n v="95989998"/>
    <n v="99148932"/>
    <n v="102396968"/>
    <n v="105789731"/>
    <n v="109276265"/>
  </r>
  <r>
    <s v="Population, total"/>
    <s v="SP.POP.TOTL"/>
    <x v="45"/>
    <s v="COG"/>
    <x v="2"/>
    <n v="166.02820344792821"/>
    <n v="2.9195486565521733"/>
    <x v="45"/>
    <x v="45"/>
    <n v="5097581"/>
    <n v="5222536"/>
    <n v="5351011"/>
    <n v="5483118"/>
    <n v="5616661"/>
    <n v="5752791"/>
    <n v="5892183"/>
    <n v="6035104"/>
    <n v="6182885"/>
    <n v="6332961"/>
  </r>
  <r>
    <s v="Population, total"/>
    <s v="SP.POP.TOTL"/>
    <x v="46"/>
    <s v="CRI"/>
    <x v="4"/>
    <n v="64.330337321964336"/>
    <n v="1.4716306646982646"/>
    <x v="46"/>
    <x v="46"/>
    <n v="4818038"/>
    <n v="4866998"/>
    <n v="4913177"/>
    <n v="4957818"/>
    <n v="4999553"/>
    <n v="5034320"/>
    <n v="5059988"/>
    <n v="5081765"/>
    <n v="5105525"/>
    <n v="5129910"/>
  </r>
  <r>
    <s v="Population, total"/>
    <s v="SP.POP.TOTL"/>
    <x v="47"/>
    <s v="CIV"/>
    <x v="2"/>
    <n v="161.97548470529981"/>
    <n v="2.8730897538186806"/>
    <x v="47"/>
    <x v="47"/>
    <n v="25246342"/>
    <n v="25989405"/>
    <n v="26733372"/>
    <n v="27464173"/>
    <n v="28193009"/>
    <n v="28915449"/>
    <n v="29639736"/>
    <n v="30395002"/>
    <n v="31165654"/>
    <n v="31934230"/>
  </r>
  <r>
    <s v="Population, total"/>
    <s v="SP.POP.TOTL"/>
    <x v="48"/>
    <s v="HRV"/>
    <x v="1"/>
    <n v="-19.070500744342912"/>
    <n v="-0.62039633893330448"/>
    <x v="48"/>
    <x v="48"/>
    <n v="4151725"/>
    <n v="4106867"/>
    <n v="4041407"/>
    <n v="3988775"/>
    <n v="3949390"/>
    <n v="3914206"/>
    <n v="3878981"/>
    <n v="3855641"/>
    <n v="3859686"/>
    <n v="3866300"/>
  </r>
  <r>
    <s v="Population, total"/>
    <s v="SP.POP.TOTL"/>
    <x v="49"/>
    <s v="CUB"/>
    <x v="4"/>
    <n v="3.2730490860483727"/>
    <n v="9.4769161853980322E-2"/>
    <x v="49"/>
    <x v="49"/>
    <n v="11275065"/>
    <n v="11265612"/>
    <n v="11247829"/>
    <n v="11227118"/>
    <n v="11202846"/>
    <n v="11176354"/>
    <n v="11122168"/>
    <n v="11059820"/>
    <n v="11019931"/>
    <n v="10979783"/>
  </r>
  <r>
    <s v="Population, total"/>
    <s v="SP.POP.TOTL"/>
    <x v="50"/>
    <s v="CUW"/>
    <x v="4"/>
    <n v="7.2214580467675384"/>
    <n v="0.20528751795911848"/>
    <x v="50"/>
    <x v="50"/>
    <n v="157980"/>
    <n v="159664"/>
    <n v="160175"/>
    <n v="159336"/>
    <n v="157441"/>
    <n v="154947"/>
    <n v="152369"/>
    <n v="149996"/>
    <n v="155800"/>
    <n v="155900"/>
  </r>
  <r>
    <s v="Population, total"/>
    <s v="SP.POP.TOTL"/>
    <x v="51"/>
    <s v="CYP"/>
    <x v="0"/>
    <n v="72.29406698285409"/>
    <n v="1.6129657385257179"/>
    <x v="51"/>
    <x v="51"/>
    <n v="1219502"/>
    <n v="1237112"/>
    <n v="1254275"/>
    <n v="1270737"/>
    <n v="1286671"/>
    <n v="1302247"/>
    <n v="1317309"/>
    <n v="1331370"/>
    <n v="1344976"/>
    <n v="1358282"/>
  </r>
  <r>
    <s v="Population, total"/>
    <s v="SP.POP.TOTL"/>
    <x v="52"/>
    <s v="CZE"/>
    <x v="1"/>
    <n v="5.3110437026503012"/>
    <n v="0.15231619557745102"/>
    <x v="52"/>
    <x v="52"/>
    <n v="10546059"/>
    <n v="10566332"/>
    <n v="10594438"/>
    <n v="10629928"/>
    <n v="10671870"/>
    <n v="10697858"/>
    <n v="10505772"/>
    <n v="10672118"/>
    <n v="10864042"/>
    <n v="10882164"/>
  </r>
  <r>
    <s v="Population, total"/>
    <s v="SP.POP.TOTL"/>
    <x v="53"/>
    <s v="DNK"/>
    <x v="1"/>
    <n v="16.262651628428195"/>
    <n v="0.44416492408216879"/>
    <x v="53"/>
    <x v="53"/>
    <n v="5683483"/>
    <n v="5728010"/>
    <n v="5764980"/>
    <n v="5793636"/>
    <n v="5814422"/>
    <n v="5831404"/>
    <n v="5856733"/>
    <n v="5903037"/>
    <n v="5946952"/>
    <n v="5976992"/>
  </r>
  <r>
    <s v="Population, total"/>
    <s v="SP.POP.TOTL"/>
    <x v="54"/>
    <s v="DJI"/>
    <x v="2"/>
    <n v="101.66442925226646"/>
    <n v="2.0844716403144448"/>
    <x v="54"/>
    <x v="54"/>
    <n v="1020313"/>
    <n v="1037653"/>
    <n v="1054841"/>
    <n v="1071882"/>
    <n v="1088709"/>
    <n v="1105188"/>
    <n v="1121248"/>
    <n v="1137096"/>
    <n v="1152944"/>
    <n v="1168722"/>
  </r>
  <r>
    <s v="Population, total"/>
    <s v="SP.POP.TOTL"/>
    <x v="55"/>
    <s v="DMA"/>
    <x v="4"/>
    <n v="-4.9147600787051005"/>
    <n v="-0.14811500822276003"/>
    <x v="55"/>
    <x v="55"/>
    <n v="70410"/>
    <n v="69606"/>
    <n v="68496"/>
    <n v="68174"/>
    <n v="67880"/>
    <n v="67573"/>
    <n v="67202"/>
    <n v="66826"/>
    <n v="66510"/>
    <n v="66205"/>
  </r>
  <r>
    <s v="Population, total"/>
    <s v="SP.POP.TOTL"/>
    <x v="56"/>
    <s v="DOM"/>
    <x v="4"/>
    <n v="59.799912349958042"/>
    <n v="1.3882308960594614"/>
    <x v="56"/>
    <x v="56"/>
    <n v="10434829"/>
    <n v="10551430"/>
    <n v="10666843"/>
    <n v="10782053"/>
    <n v="10894043"/>
    <n v="11008300"/>
    <n v="11123476"/>
    <n v="11230734"/>
    <n v="11331265"/>
    <n v="11427557"/>
  </r>
  <r>
    <s v="Population, total"/>
    <s v="SP.POP.TOTL"/>
    <x v="57"/>
    <s v="ECU"/>
    <x v="5"/>
    <n v="73.152990359733408"/>
    <n v="1.6278287148625337"/>
    <x v="57"/>
    <x v="57"/>
    <n v="16266225"/>
    <n v="16505139"/>
    <n v="16759519"/>
    <n v="17049547"/>
    <n v="17340021"/>
    <n v="17546065"/>
    <n v="17682454"/>
    <n v="17823897"/>
    <n v="17980083"/>
    <n v="18135478"/>
  </r>
  <r>
    <s v="Population, total"/>
    <s v="SP.POP.TOTL"/>
    <x v="58"/>
    <s v="EGY"/>
    <x v="2"/>
    <n v="99.563368549870475"/>
    <n v="2.0530307068234777"/>
    <x v="58"/>
    <x v="58"/>
    <n v="99597342"/>
    <n v="101644589"/>
    <n v="103696057"/>
    <n v="105682094"/>
    <n v="107553158"/>
    <n v="109315124"/>
    <n v="110957008"/>
    <n v="112618250"/>
    <n v="114535772"/>
    <n v="116538258"/>
  </r>
  <r>
    <s v="Population, total"/>
    <s v="SP.POP.TOTL"/>
    <x v="59"/>
    <s v="SLV"/>
    <x v="4"/>
    <n v="17.379900387538182"/>
    <n v="0.47242270954352961"/>
    <x v="59"/>
    <x v="59"/>
    <n v="6183676"/>
    <n v="6200800"/>
    <n v="6213533"/>
    <n v="6219807"/>
    <n v="6222318"/>
    <n v="6234673"/>
    <n v="6255782"/>
    <n v="6280319"/>
    <n v="6309624"/>
    <n v="6338193"/>
  </r>
  <r>
    <s v="Population, total"/>
    <s v="SP.POP.TOTL"/>
    <x v="60"/>
    <s v="GNQ"/>
    <x v="2"/>
    <n v="299.0343134981045"/>
    <n v="4.1541962497537943"/>
    <x v="60"/>
    <x v="60"/>
    <n v="1453923"/>
    <n v="1508186"/>
    <n v="1562396"/>
    <n v="1616422"/>
    <n v="1670177"/>
    <n v="1716468"/>
    <n v="1758786"/>
    <n v="1803545"/>
    <n v="1847549"/>
    <n v="1892516"/>
  </r>
  <r>
    <s v="Population, total"/>
    <s v="SP.POP.TOTL"/>
    <x v="61"/>
    <s v="ERI"/>
    <x v="2"/>
    <n v="73.933125633075008"/>
    <n v="1.6412664426991741"/>
    <x v="61"/>
    <x v="61"/>
    <n v="3105546"/>
    <n v="3124698"/>
    <n v="3150347"/>
    <n v="3192760"/>
    <n v="3240194"/>
    <n v="3291271"/>
    <n v="3350183"/>
    <n v="3409447"/>
    <n v="3470390"/>
    <n v="3535603"/>
  </r>
  <r>
    <s v="Population, total"/>
    <s v="SP.POP.TOTL"/>
    <x v="62"/>
    <s v="EST"/>
    <x v="1"/>
    <n v="-12.566356567213068"/>
    <n v="-0.39419172571665273"/>
    <x v="62"/>
    <x v="62"/>
    <n v="1315407"/>
    <n v="1315790"/>
    <n v="1317384"/>
    <n v="1321977"/>
    <n v="1326898"/>
    <n v="1329522"/>
    <n v="1330932"/>
    <n v="1348840"/>
    <n v="1370286"/>
    <n v="1371986"/>
  </r>
  <r>
    <s v="Population, total"/>
    <s v="SP.POP.TOTL"/>
    <x v="63"/>
    <s v="SWZ"/>
    <x v="2"/>
    <n v="42.455537878197397"/>
    <n v="1.046198757297212"/>
    <x v="63"/>
    <x v="63"/>
    <n v="1142813"/>
    <n v="1149507"/>
    <n v="1158195"/>
    <n v="1168929"/>
    <n v="1179874"/>
    <n v="1192729"/>
    <n v="1206593"/>
    <n v="1218917"/>
    <n v="1230506"/>
    <n v="1242822"/>
  </r>
  <r>
    <s v="Population, total"/>
    <s v="SP.POP.TOTL"/>
    <x v="64"/>
    <s v="ETH"/>
    <x v="2"/>
    <n v="177.37963994983801"/>
    <n v="3.0461108371396373"/>
    <x v="64"/>
    <x v="64"/>
    <n v="103867135"/>
    <n v="106718162"/>
    <n v="109666481"/>
    <n v="112664152"/>
    <n v="115737383"/>
    <n v="118917671"/>
    <n v="122138588"/>
    <n v="125384287"/>
    <n v="128691692"/>
    <n v="132059767"/>
  </r>
  <r>
    <s v="Population, total"/>
    <s v="SP.POP.TOTL"/>
    <x v="65"/>
    <s v="FRO"/>
    <x v="1"/>
    <n v="14.618768328445746"/>
    <n v="0.40210444804151813"/>
    <x v="65"/>
    <x v="65"/>
    <n v="48901"/>
    <n v="49464"/>
    <n v="50180"/>
    <n v="50996"/>
    <n v="51793"/>
    <n v="52567"/>
    <n v="53305"/>
    <n v="53927"/>
    <n v="54439"/>
    <n v="54719"/>
  </r>
  <r>
    <s v="Population, total"/>
    <s v="SP.POP.TOTL"/>
    <x v="66"/>
    <s v="FJI"/>
    <x v="3"/>
    <n v="20.104071298149787"/>
    <n v="0.54024361570272905"/>
    <x v="66"/>
    <x v="66"/>
    <n v="918578"/>
    <n v="919166"/>
    <n v="918759"/>
    <n v="917180"/>
    <n v="914899"/>
    <n v="914963"/>
    <n v="916711"/>
    <n v="919422"/>
    <n v="924145"/>
    <n v="928784"/>
  </r>
  <r>
    <s v="Population, total"/>
    <s v="SP.POP.TOTL"/>
    <x v="67"/>
    <s v="FIN"/>
    <x v="1"/>
    <n v="13.051078015518513"/>
    <n v="0.36144443014407557"/>
    <x v="67"/>
    <x v="67"/>
    <n v="5479531"/>
    <n v="5495303"/>
    <n v="5508214"/>
    <n v="5515525"/>
    <n v="5521606"/>
    <n v="5529543"/>
    <n v="5541017"/>
    <n v="5556106"/>
    <n v="5583911"/>
    <n v="5637214"/>
  </r>
  <r>
    <s v="Population, total"/>
    <s v="SP.POP.TOTL"/>
    <x v="68"/>
    <s v="FRA"/>
    <x v="1"/>
    <n v="17.603001815347803"/>
    <n v="0.47803417504981294"/>
    <x v="68"/>
    <x v="68"/>
    <n v="66548272"/>
    <n v="66724104"/>
    <n v="66918020"/>
    <n v="67158348"/>
    <n v="67382061"/>
    <n v="67601110"/>
    <n v="67842811"/>
    <n v="68065015"/>
    <n v="68287487"/>
    <n v="68516699"/>
  </r>
  <r>
    <s v="Population, total"/>
    <s v="SP.POP.TOTL"/>
    <x v="69"/>
    <s v="PYF"/>
    <x v="3"/>
    <n v="38.292536903266331"/>
    <n v="0.95809321844604334"/>
    <x v="69"/>
    <x v="69"/>
    <n v="277866"/>
    <n v="279178"/>
    <n v="280087"/>
    <n v="279815"/>
    <n v="279034"/>
    <n v="279209"/>
    <n v="279792"/>
    <n v="280378"/>
    <n v="281118"/>
    <n v="281807"/>
  </r>
  <r>
    <s v="Population, total"/>
    <s v="SP.POP.TOTL"/>
    <x v="70"/>
    <s v="GAB"/>
    <x v="2"/>
    <n v="158.09334637208838"/>
    <n v="2.827927483864201"/>
    <x v="70"/>
    <x v="70"/>
    <n v="2040989"/>
    <n v="2100306"/>
    <n v="2156900"/>
    <n v="2212318"/>
    <n v="2267706"/>
    <n v="2322539"/>
    <n v="2376722"/>
    <n v="2430747"/>
    <n v="2484789"/>
    <n v="2538952"/>
  </r>
  <r>
    <s v="Population, total"/>
    <s v="SP.POP.TOTL"/>
    <x v="71"/>
    <s v="GMB"/>
    <x v="2"/>
    <n v="161.68564211867684"/>
    <n v="2.8697404256823766"/>
    <x v="71"/>
    <x v="71"/>
    <n v="2224529"/>
    <n v="2283769"/>
    <n v="2342189"/>
    <n v="2399632"/>
    <n v="2456844"/>
    <n v="2515733"/>
    <n v="2576010"/>
    <n v="2636470"/>
    <n v="2697845"/>
    <n v="2759988"/>
  </r>
  <r>
    <s v="Population, total"/>
    <s v="SP.POP.TOTL"/>
    <x v="72"/>
    <s v="GEO"/>
    <x v="0"/>
    <n v="-23.493336109954186"/>
    <n v="-0.7845308927044381"/>
    <x v="72"/>
    <x v="72"/>
    <n v="3725276"/>
    <n v="3727505"/>
    <n v="3728004"/>
    <n v="3726549"/>
    <n v="3720161"/>
    <n v="3722716"/>
    <n v="3708610"/>
    <n v="3712502"/>
    <n v="3715483"/>
    <n v="3673850"/>
  </r>
  <r>
    <s v="Population, total"/>
    <s v="SP.POP.TOTL"/>
    <x v="73"/>
    <s v="DEU"/>
    <x v="1"/>
    <n v="5.1337850908341922"/>
    <n v="0.14735403852830231"/>
    <x v="73"/>
    <x v="73"/>
    <n v="81686611"/>
    <n v="82348669"/>
    <n v="82657002"/>
    <n v="82905782"/>
    <n v="83092962"/>
    <n v="83160871"/>
    <n v="83196078"/>
    <n v="83797985"/>
    <n v="83901923"/>
    <n v="83510950"/>
  </r>
  <r>
    <s v="Population, total"/>
    <s v="SP.POP.TOTL"/>
    <x v="74"/>
    <s v="GHA"/>
    <x v="2"/>
    <n v="123.6323558680913"/>
    <n v="2.3953961515357669"/>
    <x v="74"/>
    <x v="74"/>
    <n v="28696068"/>
    <n v="29356742"/>
    <n v="30008354"/>
    <n v="30637585"/>
    <n v="31258945"/>
    <n v="31887809"/>
    <n v="32518665"/>
    <n v="33149152"/>
    <n v="33787914"/>
    <n v="34427414"/>
  </r>
  <r>
    <s v="Population, total"/>
    <s v="SP.POP.TOTL"/>
    <x v="75"/>
    <s v="GIB"/>
    <x v="1"/>
    <n v="44.591911764705884"/>
    <n v="1.0904471722687381"/>
    <x v="75"/>
    <x v="75"/>
    <n v="33193"/>
    <n v="33658"/>
    <n v="34245"/>
    <n v="34854"/>
    <n v="35494"/>
    <n v="36173"/>
    <n v="36858"/>
    <n v="37609"/>
    <n v="38471"/>
    <n v="39329"/>
  </r>
  <r>
    <s v="Population, total"/>
    <s v="SP.POP.TOTL"/>
    <x v="76"/>
    <s v="GRC"/>
    <x v="1"/>
    <n v="1.8830726369626838"/>
    <n v="5.4884535587196304E-2"/>
    <x v="76"/>
    <x v="76"/>
    <n v="10820883"/>
    <n v="10775971"/>
    <n v="10754679"/>
    <n v="10732882"/>
    <n v="10721582"/>
    <n v="10698599"/>
    <n v="10569207"/>
    <n v="10436882"/>
    <n v="10405588"/>
    <n v="10388805"/>
  </r>
  <r>
    <s v="Population, total"/>
    <s v="SP.POP.TOTL"/>
    <x v="77"/>
    <s v="GRL"/>
    <x v="4"/>
    <n v="2.2230215827338129"/>
    <n v="6.4687756214309999E-2"/>
    <x v="77"/>
    <x v="77"/>
    <n v="56114"/>
    <n v="56186"/>
    <n v="56172"/>
    <n v="56023"/>
    <n v="56225"/>
    <n v="56367"/>
    <n v="56653"/>
    <n v="56661"/>
    <n v="56865"/>
    <n v="56836"/>
  </r>
  <r>
    <s v="Population, total"/>
    <s v="SP.POP.TOTL"/>
    <x v="78"/>
    <s v="GRD"/>
    <x v="4"/>
    <n v="17.257420690897085"/>
    <n v="0.46933768704555678"/>
    <x v="78"/>
    <x v="78"/>
    <n v="114676"/>
    <n v="115130"/>
    <n v="115438"/>
    <n v="115691"/>
    <n v="115981"/>
    <n v="116341"/>
    <n v="116688"/>
    <n v="116913"/>
    <n v="117081"/>
    <n v="117207"/>
  </r>
  <r>
    <s v="Population, total"/>
    <s v="SP.POP.TOTL"/>
    <x v="79"/>
    <s v="GUM"/>
    <x v="3"/>
    <n v="21.042493326599811"/>
    <n v="0.56326121510750227"/>
    <x v="79"/>
    <x v="79"/>
    <n v="164905"/>
    <n v="164233"/>
    <n v="163490"/>
    <n v="162679"/>
    <n v="161808"/>
    <n v="162158"/>
    <n v="163730"/>
    <n v="165180"/>
    <n v="166506"/>
    <n v="167777"/>
  </r>
  <r>
    <s v="Population, total"/>
    <s v="SP.POP.TOTL"/>
    <x v="80"/>
    <s v="GTM"/>
    <x v="4"/>
    <n v="103.95370609321697"/>
    <n v="2.1183691989452358"/>
    <x v="80"/>
    <x v="80"/>
    <n v="15971743"/>
    <n v="16268760"/>
    <n v="16567357"/>
    <n v="16845685"/>
    <n v="17103803"/>
    <n v="17357325"/>
    <n v="17598650"/>
    <n v="17847877"/>
    <n v="18124838"/>
    <n v="18406359"/>
  </r>
  <r>
    <s v="Population, total"/>
    <s v="SP.POP.TOTL"/>
    <x v="81"/>
    <s v="GIN"/>
    <x v="2"/>
    <n v="129.31189576484053"/>
    <n v="2.4709545701748326"/>
    <x v="81"/>
    <x v="81"/>
    <n v="11767070"/>
    <n v="12073030"/>
    <n v="12385659"/>
    <n v="12704774"/>
    <n v="13034346"/>
    <n v="13371183"/>
    <n v="13710513"/>
    <n v="14055137"/>
    <n v="14405468"/>
    <n v="14754785"/>
  </r>
  <r>
    <s v="Population, total"/>
    <s v="SP.POP.TOTL"/>
    <x v="82"/>
    <s v="GNB"/>
    <x v="2"/>
    <n v="126.08833186637347"/>
    <n v="2.4282954652159017"/>
    <x v="82"/>
    <x v="82"/>
    <n v="1786457"/>
    <n v="1831893"/>
    <n v="1877072"/>
    <n v="1922168"/>
    <n v="1967696"/>
    <n v="2013255"/>
    <n v="2058841"/>
    <n v="2105529"/>
    <n v="2153339"/>
    <n v="2201352"/>
  </r>
  <r>
    <s v="Population, total"/>
    <s v="SP.POP.TOTL"/>
    <x v="83"/>
    <s v="GUY"/>
    <x v="5"/>
    <n v="10.827263586586906"/>
    <n v="0.30281821587632152"/>
    <x v="83"/>
    <x v="83"/>
    <n v="758781"/>
    <n v="763548"/>
    <n v="768479"/>
    <n v="791556"/>
    <n v="807665"/>
    <n v="807481"/>
    <n v="815482"/>
    <n v="821637"/>
    <n v="826353"/>
    <n v="831087"/>
  </r>
  <r>
    <s v="Population, total"/>
    <s v="SP.POP.TOTL"/>
    <x v="84"/>
    <s v="HTI"/>
    <x v="4"/>
    <n v="71.750796308553817"/>
    <n v="1.6035277035754802"/>
    <x v="84"/>
    <x v="84"/>
    <n v="10523242"/>
    <n v="10671457"/>
    <n v="10817754"/>
    <n v="10962362"/>
    <n v="11105163"/>
    <n v="11243848"/>
    <n v="11374586"/>
    <n v="11503606"/>
    <n v="11637398"/>
    <n v="11772557"/>
  </r>
  <r>
    <s v="Population, total"/>
    <s v="SP.POP.TOTL"/>
    <x v="85"/>
    <s v="HND"/>
    <x v="4"/>
    <n v="117.3622946185193"/>
    <n v="2.3097875057987993"/>
    <x v="85"/>
    <x v="85"/>
    <n v="9237305"/>
    <n v="9412380"/>
    <n v="9588137"/>
    <n v="9765210"/>
    <n v="9943633"/>
    <n v="10119640"/>
    <n v="10289877"/>
    <n v="10463872"/>
    <n v="10644851"/>
    <n v="10825703"/>
  </r>
  <r>
    <s v="Population, total"/>
    <s v="SP.POP.TOTL"/>
    <x v="86"/>
    <s v="HKG"/>
    <x v="0"/>
    <n v="31.897624682268383"/>
    <n v="0.81760624860585107"/>
    <x v="86"/>
    <x v="86"/>
    <n v="7291300"/>
    <n v="7336600"/>
    <n v="7393200"/>
    <n v="7452600"/>
    <n v="7507900"/>
    <n v="7481000"/>
    <n v="7413100"/>
    <n v="7346100"/>
    <n v="7536100"/>
    <n v="7524100"/>
  </r>
  <r>
    <s v="Population, total"/>
    <s v="SP.POP.TOTL"/>
    <x v="87"/>
    <s v="HUN"/>
    <x v="1"/>
    <n v="-7.8241270377409338"/>
    <n v="-0.23933599010396156"/>
    <x v="87"/>
    <x v="87"/>
    <n v="9797755"/>
    <n v="9759755"/>
    <n v="9726756"/>
    <n v="9706964"/>
    <n v="9694824"/>
    <n v="9670419"/>
    <n v="9630932"/>
    <n v="9605074"/>
    <n v="9592186"/>
    <n v="9562314"/>
  </r>
  <r>
    <s v="Population, total"/>
    <s v="SP.POP.TOTL"/>
    <x v="88"/>
    <s v="ISL"/>
    <x v="1"/>
    <n v="58.778931506204238"/>
    <n v="1.3691191732931429"/>
    <x v="88"/>
    <x v="88"/>
    <n v="330815"/>
    <n v="335439"/>
    <n v="343400"/>
    <n v="352721"/>
    <n v="360563"/>
    <n v="366463"/>
    <n v="372520"/>
    <n v="382003"/>
    <n v="393349"/>
    <n v="404610"/>
  </r>
  <r>
    <s v="Population, total"/>
    <s v="SP.POP.TOTL"/>
    <x v="89"/>
    <s v="IND"/>
    <x v="0"/>
    <n v="67.743628728627115"/>
    <n v="1.5330041598851096"/>
    <x v="89"/>
    <x v="89"/>
    <n v="1328024498"/>
    <n v="1343944296"/>
    <n v="1359657400"/>
    <n v="1374659064"/>
    <n v="1389030312"/>
    <n v="1402617695"/>
    <n v="1414203896"/>
    <n v="1425423212"/>
    <n v="1438069596"/>
    <n v="1450935791"/>
  </r>
  <r>
    <s v="Population, total"/>
    <s v="SP.POP.TOTL"/>
    <x v="90"/>
    <s v="IDN"/>
    <x v="0"/>
    <n v="54.488411290051239"/>
    <n v="1.2874790232045852"/>
    <x v="90"/>
    <x v="90"/>
    <n v="261799249"/>
    <n v="264627418"/>
    <n v="267346658"/>
    <n v="269951846"/>
    <n v="272489381"/>
    <n v="274814866"/>
    <n v="276758053"/>
    <n v="278830529"/>
    <n v="281190067"/>
    <n v="283487931"/>
  </r>
  <r>
    <s v="Population, total"/>
    <s v="SP.POP.TOTL"/>
    <x v="91"/>
    <s v="IRN"/>
    <x v="0"/>
    <n v="56.847539740088116"/>
    <n v="1.3326369778085656"/>
    <x v="91"/>
    <x v="91"/>
    <n v="82619362"/>
    <n v="83812228"/>
    <n v="85026754"/>
    <n v="86117998"/>
    <n v="87051648"/>
    <n v="87723443"/>
    <n v="88455488"/>
    <n v="89524246"/>
    <n v="90608707"/>
    <n v="91567738"/>
  </r>
  <r>
    <s v="Population, total"/>
    <s v="SP.POP.TOTL"/>
    <x v="92"/>
    <s v="IRQ"/>
    <x v="0"/>
    <n v="161.88200627419985"/>
    <n v="2.8720099400917798"/>
    <x v="92"/>
    <x v="92"/>
    <n v="37560535"/>
    <n v="38469627"/>
    <n v="39337353"/>
    <n v="40265624"/>
    <n v="41192171"/>
    <n v="42116605"/>
    <n v="43071211"/>
    <n v="44070551"/>
    <n v="45074049"/>
    <n v="46042015"/>
  </r>
  <r>
    <s v="Population, total"/>
    <s v="SP.POP.TOTL"/>
    <x v="93"/>
    <s v="IRL"/>
    <x v="1"/>
    <n v="53.110324663756757"/>
    <n v="1.2607892740347459"/>
    <x v="93"/>
    <x v="93"/>
    <n v="4701957"/>
    <n v="4762722"/>
    <n v="4827445"/>
    <n v="4898022"/>
    <n v="4976456"/>
    <n v="5039747"/>
    <n v="5110585"/>
    <n v="5212836"/>
    <n v="5307600"/>
    <n v="5380257"/>
  </r>
  <r>
    <s v="Population, total"/>
    <s v="SP.POP.TOTL"/>
    <x v="94"/>
    <s v="IMN"/>
    <x v="1"/>
    <n v="22.119681931626907"/>
    <n v="0.58946992151023281"/>
    <x v="94"/>
    <x v="94"/>
    <n v="83593"/>
    <n v="83466"/>
    <n v="83609"/>
    <n v="83805"/>
    <n v="83957"/>
    <n v="84064"/>
    <n v="84106"/>
    <n v="84132"/>
    <n v="84165"/>
    <n v="84160"/>
  </r>
  <r>
    <s v="Population, total"/>
    <s v="SP.POP.TOTL"/>
    <x v="95"/>
    <s v="ISR"/>
    <x v="0"/>
    <n v="114.04291845493562"/>
    <n v="2.2634908487046301"/>
    <x v="95"/>
    <x v="95"/>
    <n v="8380100"/>
    <n v="8546000"/>
    <n v="8713300"/>
    <n v="8882800"/>
    <n v="9054000"/>
    <n v="9215100"/>
    <n v="9371400"/>
    <n v="9557500"/>
    <n v="9849000"/>
    <n v="9974400"/>
  </r>
  <r>
    <s v="Population, total"/>
    <s v="SP.POP.TOTL"/>
    <x v="96"/>
    <s v="ITA"/>
    <x v="1"/>
    <n v="3.9964974848040984"/>
    <n v="0.11532242922072111"/>
    <x v="96"/>
    <x v="96"/>
    <n v="60229605"/>
    <n v="60115223"/>
    <n v="60002252"/>
    <n v="60148658"/>
    <n v="59729081"/>
    <n v="59438851"/>
    <n v="59133173"/>
    <n v="59013667"/>
    <n v="58993475"/>
    <n v="58986023"/>
  </r>
  <r>
    <s v="Population, total"/>
    <s v="SP.POP.TOTL"/>
    <x v="97"/>
    <s v="JAM"/>
    <x v="4"/>
    <n v="19.299232691437414"/>
    <n v="0.52036306698195478"/>
    <x v="97"/>
    <x v="97"/>
    <n v="2802534"/>
    <n v="2809915"/>
    <n v="2815764"/>
    <n v="2820097"/>
    <n v="2823271"/>
    <n v="2830739"/>
    <n v="2837682"/>
    <n v="2839144"/>
    <n v="2839786"/>
    <n v="2839175"/>
  </r>
  <r>
    <s v="Population, total"/>
    <s v="SP.POP.TOTL"/>
    <x v="98"/>
    <s v="JPN"/>
    <x v="0"/>
    <n v="0.40280130873515935"/>
    <n v="1.1824000043691996E-2"/>
    <x v="98"/>
    <x v="98"/>
    <n v="127141000"/>
    <n v="127076000"/>
    <n v="126972000"/>
    <n v="126811000"/>
    <n v="126633000"/>
    <n v="126261000"/>
    <n v="125681593"/>
    <n v="125124989"/>
    <n v="124516650"/>
    <n v="123975371"/>
  </r>
  <r>
    <s v="Population, total"/>
    <s v="SP.POP.TOTL"/>
    <x v="99"/>
    <s v="JOR"/>
    <x v="0"/>
    <n v="218.97209978828838"/>
    <n v="3.4704304486181226"/>
    <x v="99"/>
    <x v="99"/>
    <n v="9544729"/>
    <n v="10006367"/>
    <n v="10234226"/>
    <n v="10462306"/>
    <n v="10671891"/>
    <n v="10865228"/>
    <n v="11066356"/>
    <n v="11256263"/>
    <n v="11439213"/>
    <n v="11552876"/>
  </r>
  <r>
    <s v="Population, total"/>
    <s v="SP.POP.TOTL"/>
    <x v="100"/>
    <s v="KAZ"/>
    <x v="0"/>
    <n v="20.044923491554826"/>
    <n v="0.53878699745721903"/>
    <x v="100"/>
    <x v="100"/>
    <n v="18084169"/>
    <n v="18363600"/>
    <n v="18651931"/>
    <n v="18932727"/>
    <n v="19209555"/>
    <n v="19482117"/>
    <n v="19743603"/>
    <n v="20034609"/>
    <n v="20330104"/>
    <n v="20592571"/>
  </r>
  <r>
    <s v="Population, total"/>
    <s v="SP.POP.TOTL"/>
    <x v="101"/>
    <s v="KEN"/>
    <x v="2"/>
    <n v="146.51117950472403"/>
    <n v="2.6891612130056641"/>
    <x v="101"/>
    <x v="101"/>
    <n v="47088526"/>
    <n v="48139687"/>
    <n v="49197766"/>
    <n v="50207107"/>
    <n v="51202827"/>
    <n v="52217334"/>
    <n v="53219166"/>
    <n v="54252461"/>
    <n v="55339003"/>
    <n v="56432944"/>
  </r>
  <r>
    <s v="Population, total"/>
    <s v="SP.POP.TOTL"/>
    <x v="102"/>
    <s v="KIR"/>
    <x v="3"/>
    <n v="79.704762540912427"/>
    <n v="1.7389020947533584"/>
    <x v="102"/>
    <x v="102"/>
    <n v="116815"/>
    <n v="118478"/>
    <n v="120275"/>
    <n v="122084"/>
    <n v="123921"/>
    <n v="126099"/>
    <n v="128377"/>
    <n v="130469"/>
    <n v="132530"/>
    <n v="134518"/>
  </r>
  <r>
    <s v="Population, total"/>
    <s v="SP.POP.TOTL"/>
    <x v="103"/>
    <s v="PRK"/>
    <x v="0"/>
    <n v="25.514641175358044"/>
    <n v="0.67062761107172797"/>
    <x v="103"/>
    <x v="103"/>
    <n v="25575350"/>
    <n v="25698326"/>
    <n v="25817709"/>
    <n v="25931147"/>
    <n v="26037632"/>
    <n v="26136312"/>
    <n v="26232534"/>
    <n v="26328845"/>
    <n v="26418204"/>
    <n v="26498823"/>
  </r>
  <r>
    <s v="Population, total"/>
    <s v="SP.POP.TOTL"/>
    <x v="104"/>
    <s v="KOR"/>
    <x v="0"/>
    <n v="20.718289130238077"/>
    <n v="0.55532878347077652"/>
    <x v="104"/>
    <x v="104"/>
    <n v="51014947"/>
    <n v="51217803"/>
    <n v="51361911"/>
    <n v="51585058"/>
    <n v="51764822"/>
    <n v="51836239"/>
    <n v="51769539"/>
    <n v="51672569"/>
    <n v="51712619"/>
    <n v="51751065"/>
  </r>
  <r>
    <s v="Population, total"/>
    <s v="SP.POP.TOTL"/>
    <x v="105"/>
    <s v="XKX"/>
    <x v="1"/>
    <n v="-22.619731582387185"/>
    <n v="-0.75139331306920409"/>
    <x v="105"/>
    <x v="105"/>
    <n v="1788274"/>
    <n v="1777568"/>
    <n v="1791019"/>
    <n v="1797086"/>
    <n v="1788891"/>
    <n v="1790151"/>
    <n v="1786079"/>
    <n v="1768096"/>
    <n v="1682668"/>
    <n v="1527324"/>
  </r>
  <r>
    <s v="Population, total"/>
    <s v="SP.POP.TOTL"/>
    <x v="106"/>
    <s v="KWT"/>
    <x v="0"/>
    <n v="195.21634074639471"/>
    <n v="3.2351655622942621"/>
    <x v="106"/>
    <x v="106"/>
    <n v="3834574"/>
    <n v="4004096"/>
    <n v="4154812"/>
    <n v="4323515"/>
    <n v="4442316"/>
    <n v="4400267"/>
    <n v="4360865"/>
    <n v="4589643"/>
    <n v="4853420"/>
    <n v="4973861"/>
  </r>
  <r>
    <s v="Population, total"/>
    <s v="SP.POP.TOTL"/>
    <x v="107"/>
    <s v="KGZ"/>
    <x v="0"/>
    <n v="64.523473573271843"/>
    <n v="1.4751362794574785"/>
    <x v="107"/>
    <x v="107"/>
    <n v="6040036"/>
    <n v="6175338"/>
    <n v="6306696"/>
    <n v="6444079"/>
    <n v="6590211"/>
    <n v="6726596"/>
    <n v="6851224"/>
    <n v="6975220"/>
    <n v="7099750"/>
    <n v="7224614"/>
  </r>
  <r>
    <s v="Population, total"/>
    <s v="SP.POP.TOTL"/>
    <x v="108"/>
    <s v="LAO"/>
    <x v="0"/>
    <n v="80.192488094147549"/>
    <n v="1.7470126891367288"/>
    <x v="108"/>
    <x v="108"/>
    <n v="6801645"/>
    <n v="6908802"/>
    <n v="7018147"/>
    <n v="7128045"/>
    <n v="7237636"/>
    <n v="7346533"/>
    <n v="7453194"/>
    <n v="7559007"/>
    <n v="7664993"/>
    <n v="7769819"/>
  </r>
  <r>
    <s v="Population, total"/>
    <s v="SP.POP.TOTL"/>
    <x v="109"/>
    <s v="LVA"/>
    <x v="1"/>
    <n v="-30.066263610287216"/>
    <n v="-1.0463170745382722"/>
    <x v="109"/>
    <x v="109"/>
    <n v="1977527"/>
    <n v="1959537"/>
    <n v="1942248"/>
    <n v="1927174"/>
    <n v="1913822"/>
    <n v="1900449"/>
    <n v="1884490"/>
    <n v="1879383"/>
    <n v="1877445"/>
    <n v="1862441"/>
  </r>
  <r>
    <s v="Population, total"/>
    <s v="SP.POP.TOTL"/>
    <x v="110"/>
    <s v="LBN"/>
    <x v="0"/>
    <n v="61.493167926456991"/>
    <n v="1.4196671730385635"/>
    <x v="110"/>
    <x v="110"/>
    <n v="6472469"/>
    <n v="6323060"/>
    <n v="6160128"/>
    <n v="5984119"/>
    <n v="5794594"/>
    <n v="5702398"/>
    <n v="5718122"/>
    <n v="5744489"/>
    <n v="5773493"/>
    <n v="5805962"/>
  </r>
  <r>
    <s v="Population, total"/>
    <s v="SP.POP.TOTL"/>
    <x v="111"/>
    <s v="LSO"/>
    <x v="2"/>
    <n v="29.161085618800065"/>
    <n v="0.75545742142000272"/>
    <x v="111"/>
    <x v="111"/>
    <n v="2104611"/>
    <n v="2130422"/>
    <n v="2157110"/>
    <n v="2183603"/>
    <n v="2209405"/>
    <n v="2235727"/>
    <n v="2261542"/>
    <n v="2286110"/>
    <n v="2311472"/>
    <n v="2337423"/>
  </r>
  <r>
    <s v="Population, total"/>
    <s v="SP.POP.TOTL"/>
    <x v="112"/>
    <s v="LBR"/>
    <x v="2"/>
    <n v="152.41265890980981"/>
    <n v="2.76063942596394"/>
    <x v="112"/>
    <x v="112"/>
    <n v="4659431"/>
    <n v="4755608"/>
    <n v="4848925"/>
    <n v="4944726"/>
    <n v="5043721"/>
    <n v="5149463"/>
    <n v="5259323"/>
    <n v="5373294"/>
    <n v="5493031"/>
    <n v="5612817"/>
  </r>
  <r>
    <s v="Population, total"/>
    <s v="SP.POP.TOTL"/>
    <x v="113"/>
    <s v="LBY"/>
    <x v="2"/>
    <n v="66.043333103124496"/>
    <n v="1.5025846596718795"/>
    <x v="113"/>
    <x v="113"/>
    <n v="6531819"/>
    <n v="6632126"/>
    <n v="6738770"/>
    <n v="6849055"/>
    <n v="6951033"/>
    <n v="7045399"/>
    <n v="7135175"/>
    <n v="7223805"/>
    <n v="7305659"/>
    <n v="7381023"/>
  </r>
  <r>
    <s v="Population, total"/>
    <s v="SP.POP.TOTL"/>
    <x v="114"/>
    <s v="LIE"/>
    <x v="1"/>
    <n v="39.854568227680751"/>
    <n v="0.99144996723428136"/>
    <x v="114"/>
    <x v="114"/>
    <n v="37494"/>
    <n v="37716"/>
    <n v="37962"/>
    <n v="38246"/>
    <n v="38563"/>
    <n v="38901"/>
    <n v="39182"/>
    <n v="39493"/>
    <n v="39850"/>
    <n v="40197"/>
  </r>
  <r>
    <s v="Population, total"/>
    <s v="SP.POP.TOTL"/>
    <x v="115"/>
    <s v="LTU"/>
    <x v="1"/>
    <n v="-21.898823042004544"/>
    <n v="-0.72432012265949419"/>
    <x v="115"/>
    <x v="115"/>
    <n v="2911109"/>
    <n v="2877325"/>
    <n v="2842639"/>
    <n v="2819200"/>
    <n v="2811089"/>
    <n v="2810369"/>
    <n v="2808380"/>
    <n v="2831639"/>
    <n v="2871585"/>
    <n v="2888055"/>
  </r>
  <r>
    <s v="Population, total"/>
    <s v="SP.POP.TOTL"/>
    <x v="116"/>
    <s v="LUX"/>
    <x v="1"/>
    <n v="77.482519313866703"/>
    <n v="1.7016749382537721"/>
    <x v="116"/>
    <x v="116"/>
    <n v="569604"/>
    <n v="582014"/>
    <n v="596336"/>
    <n v="607950"/>
    <n v="620001"/>
    <n v="630419"/>
    <n v="640064"/>
    <n v="653103"/>
    <n v="666430"/>
    <n v="677717"/>
  </r>
  <r>
    <s v="Population, total"/>
    <s v="SP.POP.TOTL"/>
    <x v="117"/>
    <s v="MAC"/>
    <x v="0"/>
    <n v="105.1052395879982"/>
    <n v="2.1352807225181847"/>
    <x v="117"/>
    <x v="117"/>
    <n v="642900"/>
    <n v="652500"/>
    <n v="648400"/>
    <n v="658900"/>
    <n v="672000"/>
    <n v="685400"/>
    <n v="682500"/>
    <n v="677300"/>
    <n v="678800"/>
    <n v="687000"/>
  </r>
  <r>
    <s v="Population, total"/>
    <s v="SP.POP.TOTL"/>
    <x v="118"/>
    <s v="MDG"/>
    <x v="2"/>
    <n v="165.14526521572188"/>
    <n v="2.9094857817951958"/>
    <x v="118"/>
    <x v="118"/>
    <n v="25426702"/>
    <n v="26099952"/>
    <n v="26788375"/>
    <n v="27494926"/>
    <n v="28219554"/>
    <n v="28953556"/>
    <n v="29691083"/>
    <n v="30437261"/>
    <n v="31195932"/>
    <n v="31964956"/>
  </r>
  <r>
    <s v="Population, total"/>
    <s v="SP.POP.TOTL"/>
    <x v="119"/>
    <s v="MWI"/>
    <x v="2"/>
    <n v="126.85545512333525"/>
    <n v="2.4385004865220772"/>
    <x v="119"/>
    <x v="119"/>
    <n v="17085587"/>
    <n v="17557739"/>
    <n v="18039715"/>
    <n v="18528081"/>
    <n v="19025752"/>
    <n v="19533888"/>
    <n v="20047258"/>
    <n v="20568728"/>
    <n v="21104482"/>
    <n v="21655286"/>
  </r>
  <r>
    <s v="Population, total"/>
    <s v="SP.POP.TOTL"/>
    <x v="120"/>
    <s v="MYS"/>
    <x v="0"/>
    <n v="99.390635574570567"/>
    <n v="2.050431601328051"/>
    <x v="120"/>
    <x v="120"/>
    <n v="31232798"/>
    <n v="31789685"/>
    <n v="32355644"/>
    <n v="32910967"/>
    <n v="33440596"/>
    <n v="33889558"/>
    <n v="34282399"/>
    <n v="34695493"/>
    <n v="35126298"/>
    <n v="35557673"/>
  </r>
  <r>
    <s v="Population, total"/>
    <s v="SP.POP.TOTL"/>
    <x v="121"/>
    <s v="MDV"/>
    <x v="0"/>
    <n v="134.82572676875984"/>
    <n v="2.5425904715826286"/>
    <x v="121"/>
    <x v="121"/>
    <n v="428154"/>
    <n v="443308"/>
    <n v="458287"/>
    <n v="473099"/>
    <n v="487731"/>
    <n v="502118"/>
    <n v="516154"/>
    <n v="524106"/>
    <n v="525994"/>
    <n v="527799"/>
  </r>
  <r>
    <s v="Population, total"/>
    <s v="SP.POP.TOTL"/>
    <x v="122"/>
    <s v="MLI"/>
    <x v="2"/>
    <n v="166.68535096521015"/>
    <n v="2.9270171680400026"/>
    <x v="122"/>
    <x v="122"/>
    <n v="18593022"/>
    <n v="19191289"/>
    <n v="19813011"/>
    <n v="20442030"/>
    <n v="21068405"/>
    <n v="21713836"/>
    <n v="22388630"/>
    <n v="23072640"/>
    <n v="23769127"/>
    <n v="24478595"/>
  </r>
  <r>
    <s v="Population, total"/>
    <s v="SP.POP.TOTL"/>
    <x v="123"/>
    <s v="MLT"/>
    <x v="1"/>
    <n v="62.166756077589859"/>
    <n v="1.4320838671294078"/>
    <x v="123"/>
    <x v="123"/>
    <n v="444220"/>
    <n v="454505"/>
    <n v="467106"/>
    <n v="483903"/>
    <n v="503912"/>
    <n v="515490"/>
    <n v="518150"/>
    <n v="531113"/>
    <n v="552747"/>
    <n v="574346"/>
  </r>
  <r>
    <s v="Population, total"/>
    <s v="SP.POP.TOTL"/>
    <x v="124"/>
    <s v="MHL"/>
    <x v="3"/>
    <n v="-15.866364919671067"/>
    <n v="-0.5068399083759223"/>
    <x v="124"/>
    <x v="124"/>
    <n v="48800"/>
    <n v="47709"/>
    <n v="46529"/>
    <n v="45285"/>
    <n v="44007"/>
    <n v="42706"/>
    <n v="41367"/>
    <n v="40077"/>
    <n v="38827"/>
    <n v="37548"/>
  </r>
  <r>
    <s v="Population, total"/>
    <s v="SP.POP.TOTL"/>
    <x v="125"/>
    <s v="MRT"/>
    <x v="2"/>
    <n v="164.84211615684995"/>
    <n v="2.906023280674197"/>
    <x v="125"/>
    <x v="125"/>
    <n v="3965959"/>
    <n v="4086657"/>
    <n v="4210600"/>
    <n v="4337685"/>
    <n v="4467708"/>
    <n v="4600131"/>
    <n v="4734874"/>
    <n v="4875637"/>
    <n v="5022441"/>
    <n v="5169395"/>
  </r>
  <r>
    <s v="Population, total"/>
    <s v="SP.POP.TOTL"/>
    <x v="126"/>
    <s v="MUS"/>
    <x v="2"/>
    <n v="18.959080068947603"/>
    <n v="0.51192169676168575"/>
    <x v="126"/>
    <x v="126"/>
    <n v="1262879"/>
    <n v="1263747"/>
    <n v="1264887"/>
    <n v="1265577"/>
    <n v="1265985"/>
    <n v="1266014"/>
    <n v="1266334"/>
    <n v="1262523"/>
    <n v="1261041"/>
    <n v="1259509"/>
  </r>
  <r>
    <s v="Population, total"/>
    <s v="SP.POP.TOTL"/>
    <x v="127"/>
    <s v="MEX"/>
    <x v="4"/>
    <n v="58.006204285743436"/>
    <n v="1.3545750391636524"/>
    <x v="127"/>
    <x v="127"/>
    <n v="121072306"/>
    <n v="122251351"/>
    <n v="123400057"/>
    <n v="124573711"/>
    <n v="125762982"/>
    <n v="126799054"/>
    <n v="127648148"/>
    <n v="128613117"/>
    <n v="129739759"/>
    <n v="130861007"/>
  </r>
  <r>
    <s v="Population, total"/>
    <s v="SP.POP.TOTL"/>
    <x v="128"/>
    <s v="FSM"/>
    <x v="3"/>
    <n v="12.163983823646022"/>
    <n v="0.33819339889409328"/>
    <x v="128"/>
    <x v="128"/>
    <n v="108716"/>
    <n v="109075"/>
    <n v="109481"/>
    <n v="109909"/>
    <n v="110282"/>
    <n v="110916"/>
    <n v="111624"/>
    <n v="112114"/>
    <n v="112630"/>
    <n v="113160"/>
  </r>
  <r>
    <s v="Population, total"/>
    <s v="SP.POP.TOTL"/>
    <x v="129"/>
    <s v="MDA"/>
    <x v="1"/>
    <n v="-19.766769468003083"/>
    <n v="-0.64564905696821162"/>
    <x v="129"/>
    <x v="129"/>
    <n v="2835978"/>
    <n v="2803186"/>
    <n v="2755189"/>
    <n v="2707203"/>
    <n v="2664224"/>
    <n v="2635130"/>
    <n v="2595809"/>
    <n v="2528654"/>
    <n v="2457783"/>
    <n v="2389275"/>
  </r>
  <r>
    <s v="Population, total"/>
    <s v="SP.POP.TOTL"/>
    <x v="130"/>
    <s v="MCO"/>
    <x v="1"/>
    <n v="27.251465840964489"/>
    <n v="0.71132678570478003"/>
    <x v="130"/>
    <x v="130"/>
    <n v="36757"/>
    <n v="37276"/>
    <n v="37678"/>
    <n v="38154"/>
    <n v="38109"/>
    <n v="38050"/>
    <n v="38527"/>
    <n v="38931"/>
    <n v="38956"/>
    <n v="38631"/>
  </r>
  <r>
    <s v="Population, total"/>
    <s v="SP.POP.TOTL"/>
    <x v="131"/>
    <s v="MNG"/>
    <x v="0"/>
    <n v="67.950217038085299"/>
    <n v="1.5366797628475704"/>
    <x v="131"/>
    <x v="131"/>
    <n v="3026864"/>
    <n v="3088856"/>
    <n v="3148917"/>
    <n v="3208189"/>
    <n v="3267673"/>
    <n v="3327204"/>
    <n v="3383741"/>
    <n v="3433748"/>
    <n v="3481145"/>
    <n v="3524788"/>
  </r>
  <r>
    <s v="Population, total"/>
    <s v="SP.POP.TOTL"/>
    <x v="132"/>
    <s v="MNE"/>
    <x v="1"/>
    <n v="2.8792556384529626"/>
    <n v="8.3522623187626266E-2"/>
    <x v="132"/>
    <x v="132"/>
    <n v="624651"/>
    <n v="625353"/>
    <n v="625982"/>
    <n v="626438"/>
    <n v="626753"/>
    <n v="626590"/>
    <n v="625053"/>
    <n v="623591"/>
    <n v="623529"/>
    <n v="623831"/>
  </r>
  <r>
    <s v="Population, total"/>
    <s v="SP.POP.TOTL"/>
    <x v="133"/>
    <s v="MAR"/>
    <x v="2"/>
    <n v="56.226921803736865"/>
    <n v="1.3208214710852539"/>
    <x v="133"/>
    <x v="133"/>
    <n v="34607588"/>
    <n v="35023457"/>
    <n v="35446392"/>
    <n v="35839760"/>
    <n v="36210898"/>
    <n v="36584208"/>
    <n v="36954442"/>
    <n v="37329064"/>
    <n v="37712505"/>
    <n v="38081173"/>
  </r>
  <r>
    <s v="Population, total"/>
    <s v="SP.POP.TOTL"/>
    <x v="134"/>
    <s v="MOZ"/>
    <x v="2"/>
    <n v="164.47491805170355"/>
    <n v="2.901824070193304"/>
    <x v="134"/>
    <x v="134"/>
    <n v="26547572"/>
    <n v="27337105"/>
    <n v="28166393"/>
    <n v="29018644"/>
    <n v="29884380"/>
    <n v="30783688"/>
    <n v="31707800"/>
    <n v="32656246"/>
    <n v="33635160"/>
    <n v="34631766"/>
  </r>
  <r>
    <s v="Population, total"/>
    <s v="SP.POP.TOTL"/>
    <x v="135"/>
    <s v="MMR"/>
    <x v="0"/>
    <n v="36.87557435846086"/>
    <n v="0.92751652283769026"/>
    <x v="135"/>
    <x v="135"/>
    <n v="51089056"/>
    <n v="51495696"/>
    <n v="51894938"/>
    <n v="52272247"/>
    <n v="52640713"/>
    <n v="53016522"/>
    <n v="53387102"/>
    <n v="53756787"/>
    <n v="54133798"/>
    <n v="54500091"/>
  </r>
  <r>
    <s v="Population, total"/>
    <s v="SP.POP.TOTL"/>
    <x v="136"/>
    <s v="NAM"/>
    <x v="2"/>
    <n v="121.2900285765824"/>
    <n v="2.3636908711073934"/>
    <x v="136"/>
    <x v="136"/>
    <n v="2374300"/>
    <n v="2439213"/>
    <n v="2506853"/>
    <n v="2577327"/>
    <n v="2650494"/>
    <n v="2728762"/>
    <n v="2810548"/>
    <n v="2889662"/>
    <n v="2963095"/>
    <n v="3030131"/>
  </r>
  <r>
    <s v="Population, total"/>
    <s v="SP.POP.TOTL"/>
    <x v="137"/>
    <s v="NRU"/>
    <x v="3"/>
    <n v="24.16337559758886"/>
    <n v="0.63858341548010955"/>
    <x v="137"/>
    <x v="137"/>
    <n v="10954"/>
    <n v="11150"/>
    <n v="11324"/>
    <n v="11477"/>
    <n v="11587"/>
    <n v="11643"/>
    <n v="11709"/>
    <n v="11801"/>
    <n v="11875"/>
    <n v="11947"/>
  </r>
  <r>
    <s v="Population, total"/>
    <s v="SP.POP.TOTL"/>
    <x v="138"/>
    <s v="NPL"/>
    <x v="0"/>
    <n v="51.865313520556889"/>
    <n v="1.2364755913340408"/>
    <x v="138"/>
    <x v="138"/>
    <n v="27823629"/>
    <n v="27955462"/>
    <n v="28011258"/>
    <n v="28079689"/>
    <n v="28414064"/>
    <n v="28966574"/>
    <n v="29475010"/>
    <n v="29715436"/>
    <n v="29694614"/>
    <n v="29651054"/>
  </r>
  <r>
    <s v="Population, total"/>
    <s v="SP.POP.TOTL"/>
    <x v="139"/>
    <s v="NLD"/>
    <x v="1"/>
    <n v="20.350633481166785"/>
    <n v="0.54630814990239696"/>
    <x v="139"/>
    <x v="139"/>
    <n v="16939923"/>
    <n v="17030314"/>
    <n v="17131296"/>
    <n v="17231624"/>
    <n v="17344874"/>
    <n v="17441500"/>
    <n v="17533044"/>
    <n v="17700982"/>
    <n v="17877117"/>
    <n v="17994237"/>
  </r>
  <r>
    <s v="Population, total"/>
    <s v="SP.POP.TOTL"/>
    <x v="140"/>
    <s v="NCL"/>
    <x v="3"/>
    <n v="65.84247631137508"/>
    <n v="1.4989712405330424"/>
    <x v="140"/>
    <x v="140"/>
    <n v="283168"/>
    <n v="283423"/>
    <n v="283546"/>
    <n v="283541"/>
    <n v="283606"/>
    <n v="284176"/>
    <n v="285214"/>
    <n v="287123"/>
    <n v="289870"/>
    <n v="292639"/>
  </r>
  <r>
    <s v="Population, total"/>
    <s v="SP.POP.TOTL"/>
    <x v="141"/>
    <s v="NZL"/>
    <x v="3"/>
    <n v="60.324944441107576"/>
    <n v="1.3980128680492587"/>
    <x v="141"/>
    <x v="141"/>
    <n v="4609400"/>
    <n v="4714100"/>
    <n v="4813600"/>
    <n v="4900600"/>
    <n v="4979200"/>
    <n v="5090200"/>
    <n v="5111300"/>
    <n v="5117100"/>
    <n v="5245000"/>
    <n v="5338500"/>
  </r>
  <r>
    <s v="Population, total"/>
    <s v="SP.POP.TOTL"/>
    <x v="142"/>
    <s v="NIC"/>
    <x v="4"/>
    <n v="66.151158458054297"/>
    <n v="1.5045226910791909"/>
    <x v="142"/>
    <x v="142"/>
    <n v="6149417"/>
    <n v="6232666"/>
    <n v="6316231"/>
    <n v="6400080"/>
    <n v="6483657"/>
    <n v="6565267"/>
    <n v="6644741"/>
    <n v="6730654"/>
    <n v="6823613"/>
    <n v="6916140"/>
  </r>
  <r>
    <s v="Population, total"/>
    <s v="SP.POP.TOTL"/>
    <x v="143"/>
    <s v="NER"/>
    <x v="2"/>
    <n v="226.23967558039354"/>
    <n v="3.539013511833411"/>
    <x v="143"/>
    <x v="143"/>
    <n v="19939498"/>
    <n v="20685753"/>
    <n v="21435446"/>
    <n v="22188069"/>
    <n v="22947757"/>
    <n v="23717613"/>
    <n v="24502140"/>
    <n v="25311973"/>
    <n v="26159867"/>
    <n v="27032412"/>
  </r>
  <r>
    <s v="Population, total"/>
    <s v="SP.POP.TOTL"/>
    <x v="144"/>
    <s v="NGA"/>
    <x v="2"/>
    <n v="139.57708186984422"/>
    <n v="2.6030226242223398"/>
    <x v="144"/>
    <x v="144"/>
    <n v="190671878"/>
    <n v="195443700"/>
    <n v="200254579"/>
    <n v="204938755"/>
    <n v="209485641"/>
    <n v="213996181"/>
    <n v="218529286"/>
    <n v="223150896"/>
    <n v="227882945"/>
    <n v="232679478"/>
  </r>
  <r>
    <s v="Population, total"/>
    <s v="SP.POP.TOTL"/>
    <x v="145"/>
    <s v="MKD"/>
    <x v="1"/>
    <n v="-13.156536668073532"/>
    <n v="-0.41403157496414655"/>
    <x v="145"/>
    <x v="145"/>
    <n v="1912430"/>
    <n v="1906313"/>
    <n v="1898657"/>
    <n v="1889051"/>
    <n v="1876262"/>
    <n v="1856124"/>
    <n v="1837114"/>
    <n v="1831712"/>
    <n v="1827816"/>
    <n v="1792179"/>
  </r>
  <r>
    <s v="Population, total"/>
    <s v="SP.POP.TOTL"/>
    <x v="146"/>
    <s v="MNP"/>
    <x v="3"/>
    <n v="2.1595680863827234"/>
    <n v="6.2860330924130459E-2"/>
    <x v="146"/>
    <x v="146"/>
    <n v="51514"/>
    <n v="50773"/>
    <n v="49959"/>
    <n v="49077"/>
    <n v="48129"/>
    <n v="47528"/>
    <n v="46979"/>
    <n v="46078"/>
    <n v="45143"/>
    <n v="44278"/>
  </r>
  <r>
    <s v="Population, total"/>
    <s v="SP.POP.TOTL"/>
    <x v="147"/>
    <s v="NOR"/>
    <x v="1"/>
    <n v="31.375868713534189"/>
    <n v="0.80585394494172569"/>
    <x v="147"/>
    <x v="147"/>
    <n v="5188607"/>
    <n v="5234519"/>
    <n v="5276968"/>
    <n v="5311916"/>
    <n v="5347896"/>
    <n v="5379475"/>
    <n v="5408320"/>
    <n v="5457127"/>
    <n v="5519594"/>
    <n v="5572272"/>
  </r>
  <r>
    <s v="Population, total"/>
    <s v="SP.POP.TOTL"/>
    <x v="148"/>
    <s v="OMN"/>
    <x v="0"/>
    <n v="199.41472396672475"/>
    <n v="3.2780510771696747"/>
    <x v="148"/>
    <x v="148"/>
    <n v="4184895"/>
    <n v="4390877"/>
    <n v="4537396"/>
    <n v="4597877"/>
    <n v="4591241"/>
    <n v="4522497"/>
    <n v="4500424"/>
    <n v="4730226"/>
    <n v="5049269"/>
    <n v="5281538"/>
  </r>
  <r>
    <s v="Population, total"/>
    <s v="SP.POP.TOTL"/>
    <x v="149"/>
    <s v="PAK"/>
    <x v="0"/>
    <n v="116.3212242174237"/>
    <n v="2.2953415722097859"/>
    <x v="149"/>
    <x v="149"/>
    <n v="217290883"/>
    <n v="220138869"/>
    <n v="223273967"/>
    <n v="226928892"/>
    <n v="230800899"/>
    <n v="235001746"/>
    <n v="239477801"/>
    <n v="243700667"/>
    <n v="247504495"/>
    <n v="251269164"/>
  </r>
  <r>
    <s v="Population, total"/>
    <s v="SP.POP.TOTL"/>
    <x v="150"/>
    <s v="PLW"/>
    <x v="3"/>
    <n v="15.964348908840684"/>
    <n v="0.43657558211267489"/>
    <x v="150"/>
    <x v="150"/>
    <n v="17770"/>
    <n v="17797"/>
    <n v="17812"/>
    <n v="17814"/>
    <n v="17798"/>
    <n v="17792"/>
    <n v="17783"/>
    <n v="17759"/>
    <n v="17727"/>
    <n v="17695"/>
  </r>
  <r>
    <s v="Population, total"/>
    <s v="SP.POP.TOTL"/>
    <x v="151"/>
    <s v="PAN"/>
    <x v="4"/>
    <n v="83.890220774455599"/>
    <n v="1.8078195911830353"/>
    <x v="151"/>
    <x v="151"/>
    <n v="3960035"/>
    <n v="4029086"/>
    <n v="4098707"/>
    <n v="4167860"/>
    <n v="4234700"/>
    <n v="4293261"/>
    <n v="4345405"/>
    <n v="4400773"/>
    <n v="4458759"/>
    <n v="4515577"/>
  </r>
  <r>
    <s v="Population, total"/>
    <s v="SP.POP.TOTL"/>
    <x v="152"/>
    <s v="PNG"/>
    <x v="3"/>
    <n v="171.43727891910677"/>
    <n v="2.9804973837219917"/>
    <x v="152"/>
    <x v="152"/>
    <n v="8743246"/>
    <n v="8961718"/>
    <n v="9178714"/>
    <n v="9394513"/>
    <n v="9609010"/>
    <n v="9815746"/>
    <n v="10012896"/>
    <n v="10203169"/>
    <n v="10389635"/>
    <n v="10576502"/>
  </r>
  <r>
    <s v="Population, total"/>
    <s v="SP.POP.TOTL"/>
    <x v="153"/>
    <s v="PRY"/>
    <x v="5"/>
    <n v="71.694434760157165"/>
    <n v="1.6025468973837942"/>
    <x v="153"/>
    <x v="153"/>
    <n v="6159103"/>
    <n v="6249126"/>
    <n v="6338660"/>
    <n v="6427382"/>
    <n v="6515058"/>
    <n v="6603739"/>
    <n v="6684182"/>
    <n v="6760464"/>
    <n v="6844146"/>
    <n v="6929153"/>
  </r>
  <r>
    <s v="Population, total"/>
    <s v="SP.POP.TOTL"/>
    <x v="154"/>
    <s v="PER"/>
    <x v="5"/>
    <n v="55.431314729551353"/>
    <n v="1.3056076556421159"/>
    <x v="154"/>
    <x v="154"/>
    <n v="30457600"/>
    <n v="30866494"/>
    <n v="31324637"/>
    <n v="31897584"/>
    <n v="32449303"/>
    <n v="32838579"/>
    <n v="33155882"/>
    <n v="33475438"/>
    <n v="33845617"/>
    <n v="34217848"/>
  </r>
  <r>
    <s v="Population, total"/>
    <s v="SP.POP.TOTL"/>
    <x v="155"/>
    <s v="PHL"/>
    <x v="0"/>
    <n v="84.304010143017862"/>
    <n v="1.8145501186628277"/>
    <x v="155"/>
    <x v="155"/>
    <n v="105312992"/>
    <n v="106735719"/>
    <n v="108119693"/>
    <n v="109465287"/>
    <n v="110804683"/>
    <n v="112081264"/>
    <n v="113100950"/>
    <n v="113964338"/>
    <n v="114891199"/>
    <n v="115843670"/>
  </r>
  <r>
    <s v="Population, total"/>
    <s v="SP.POP.TOTL"/>
    <x v="156"/>
    <s v="POL"/>
    <x v="1"/>
    <n v="-4.0830308861151163"/>
    <n v="-0.12253449401735672"/>
    <x v="156"/>
    <x v="156"/>
    <n v="37986412"/>
    <n v="37970087"/>
    <n v="37974826"/>
    <n v="37974750"/>
    <n v="37965475"/>
    <n v="37515748"/>
    <n v="36981559"/>
    <n v="36821749"/>
    <n v="36687353"/>
    <n v="36554707"/>
  </r>
  <r>
    <s v="Population, total"/>
    <s v="SP.POP.TOTL"/>
    <x v="157"/>
    <s v="PRT"/>
    <x v="1"/>
    <n v="7.1962567580914296"/>
    <n v="0.20459472685276925"/>
    <x v="157"/>
    <x v="157"/>
    <n v="10358076"/>
    <n v="10325452"/>
    <n v="10300300"/>
    <n v="10283822"/>
    <n v="10286263"/>
    <n v="10297081"/>
    <n v="10361831"/>
    <n v="10434332"/>
    <n v="10578174"/>
    <n v="10701636"/>
  </r>
  <r>
    <s v="Population, total"/>
    <s v="SP.POP.TOTL"/>
    <x v="158"/>
    <s v="PRI"/>
    <x v="4"/>
    <n v="-9.4346904156064468"/>
    <n v="-0.29104312440685343"/>
    <x v="158"/>
    <x v="158"/>
    <n v="3535167"/>
    <n v="3480432"/>
    <n v="3410837"/>
    <n v="3290690"/>
    <n v="3302691"/>
    <n v="3281590"/>
    <n v="3262711"/>
    <n v="3220137"/>
    <n v="3203792"/>
    <n v="3203295"/>
  </r>
  <r>
    <s v="Population, total"/>
    <s v="SP.POP.TOTL"/>
    <x v="159"/>
    <s v="QAT"/>
    <x v="0"/>
    <n v="549.24677685011648"/>
    <n v="5.6560586593142892"/>
    <x v="159"/>
    <x v="159"/>
    <n v="2344557"/>
    <n v="2477113"/>
    <n v="2545820"/>
    <n v="2580734"/>
    <n v="2638657"/>
    <n v="2794148"/>
    <n v="2504910"/>
    <n v="2657333"/>
    <n v="2656032"/>
    <n v="2857822"/>
  </r>
  <r>
    <s v="Population, total"/>
    <s v="SP.POP.TOTL"/>
    <x v="160"/>
    <s v="ROU"/>
    <x v="1"/>
    <n v="-17.811069684790017"/>
    <n v="-0.57524953972520887"/>
    <x v="160"/>
    <x v="160"/>
    <n v="19815616"/>
    <n v="19702267"/>
    <n v="19588715"/>
    <n v="19473970"/>
    <n v="19371648"/>
    <n v="19265250"/>
    <n v="19122059"/>
    <n v="19048502"/>
    <n v="19059479"/>
    <n v="19069340"/>
  </r>
  <r>
    <s v="Population, total"/>
    <s v="SP.POP.TOTL"/>
    <x v="161"/>
    <s v="RUS"/>
    <x v="1"/>
    <n v="-2.9976162775161779"/>
    <n v="-8.9473575939391647E-2"/>
    <x v="161"/>
    <x v="161"/>
    <n v="144640716"/>
    <n v="145015460"/>
    <n v="145293260"/>
    <n v="145398106"/>
    <n v="145453291"/>
    <n v="145245148"/>
    <n v="144746762"/>
    <n v="144236933"/>
    <n v="143826130"/>
    <n v="143533851"/>
  </r>
  <r>
    <s v="Population, total"/>
    <s v="SP.POP.TOTL"/>
    <x v="162"/>
    <s v="RWA"/>
    <x v="2"/>
    <n v="93.301336473180029"/>
    <n v="1.9573812645395039"/>
    <x v="162"/>
    <x v="162"/>
    <n v="11640022"/>
    <n v="11919183"/>
    <n v="12202060"/>
    <n v="12487996"/>
    <n v="12776103"/>
    <n v="13065837"/>
    <n v="13355260"/>
    <n v="13651030"/>
    <n v="13954471"/>
    <n v="14256567"/>
  </r>
  <r>
    <s v="Population, total"/>
    <s v="SP.POP.TOTL"/>
    <x v="163"/>
    <s v="WSM"/>
    <x v="3"/>
    <n v="28.973272914423635"/>
    <n v="0.75114531378730476"/>
    <x v="163"/>
    <x v="163"/>
    <n v="201782"/>
    <n v="203499"/>
    <n v="205415"/>
    <n v="207582"/>
    <n v="209780"/>
    <n v="211944"/>
    <n v="213779"/>
    <n v="215261"/>
    <n v="216663"/>
    <n v="218019"/>
  </r>
  <r>
    <s v="Population, total"/>
    <s v="SP.POP.TOTL"/>
    <x v="164"/>
    <s v="SMR"/>
    <x v="1"/>
    <n v="44.736954206602768"/>
    <n v="1.0934282340317347"/>
    <x v="164"/>
    <x v="164"/>
    <n v="32897"/>
    <n v="33101"/>
    <n v="33825"/>
    <n v="34522"/>
    <n v="34663"/>
    <n v="34770"/>
    <n v="34252"/>
    <n v="33755"/>
    <n v="33860"/>
    <n v="33977"/>
  </r>
  <r>
    <s v="Population, total"/>
    <s v="SP.POP.TOTL"/>
    <x v="165"/>
    <s v="STP"/>
    <x v="2"/>
    <n v="91.523825012197108"/>
    <n v="1.9296823475053682"/>
    <x v="165"/>
    <x v="165"/>
    <n v="200291"/>
    <n v="203689"/>
    <n v="206970"/>
    <n v="210187"/>
    <n v="213392"/>
    <n v="217435"/>
    <n v="221961"/>
    <n v="226305"/>
    <n v="230871"/>
    <n v="235536"/>
  </r>
  <r>
    <s v="Population, total"/>
    <s v="SP.POP.TOTL"/>
    <x v="166"/>
    <s v="SAU"/>
    <x v="0"/>
    <n v="231.74800395951732"/>
    <n v="3.5900139898916716"/>
    <x v="166"/>
    <x v="166"/>
    <n v="29816382"/>
    <n v="30954198"/>
    <n v="30977355"/>
    <n v="30196281"/>
    <n v="30063799"/>
    <n v="31552510"/>
    <n v="30784383"/>
    <n v="32175224"/>
    <n v="33702731"/>
    <n v="35300280"/>
  </r>
  <r>
    <s v="Population, total"/>
    <s v="SP.POP.TOTL"/>
    <x v="167"/>
    <s v="SEN"/>
    <x v="2"/>
    <n v="139.6467700439465"/>
    <n v="2.603900299275641"/>
    <x v="167"/>
    <x v="167"/>
    <n v="14593331"/>
    <n v="15034521"/>
    <n v="15475002"/>
    <n v="15914498"/>
    <n v="16352922"/>
    <n v="16789219"/>
    <n v="17220867"/>
    <n v="17651103"/>
    <n v="18077573"/>
    <n v="18501984"/>
  </r>
  <r>
    <s v="Population, total"/>
    <s v="SP.POP.TOTL"/>
    <x v="168"/>
    <s v="SRB"/>
    <x v="1"/>
    <n v="-16.595916123412987"/>
    <n v="-0.53232197269421633"/>
    <x v="168"/>
    <x v="168"/>
    <n v="7095383"/>
    <n v="7058322"/>
    <n v="7020858"/>
    <n v="6982604"/>
    <n v="6945235"/>
    <n v="6899126"/>
    <n v="6834326"/>
    <n v="6664449"/>
    <n v="6623183"/>
    <n v="6587202"/>
  </r>
  <r>
    <s v="Population, total"/>
    <s v="SP.POP.TOTL"/>
    <x v="169"/>
    <s v="SYC"/>
    <x v="2"/>
    <n v="74.592487087631469"/>
    <n v="1.6525783200067146"/>
    <x v="169"/>
    <x v="169"/>
    <n v="93419"/>
    <n v="94677"/>
    <n v="95843"/>
    <n v="96762"/>
    <n v="97625"/>
    <n v="98462"/>
    <n v="99258"/>
    <n v="119878"/>
    <n v="119773"/>
    <n v="121354"/>
  </r>
  <r>
    <s v="Population, total"/>
    <s v="SP.POP.TOTL"/>
    <x v="170"/>
    <s v="SLE"/>
    <x v="2"/>
    <n v="105.91794564847548"/>
    <n v="2.1471608162212608"/>
    <x v="170"/>
    <x v="170"/>
    <n v="7037655"/>
    <n v="7205328"/>
    <n v="7379299"/>
    <n v="7554563"/>
    <n v="7731991"/>
    <n v="7912558"/>
    <n v="8094602"/>
    <n v="8276807"/>
    <n v="8460512"/>
    <n v="8642022"/>
  </r>
  <r>
    <s v="Population, total"/>
    <s v="SP.POP.TOTL"/>
    <x v="171"/>
    <s v="SGP"/>
    <x v="0"/>
    <n v="98.116130184055038"/>
    <n v="2.0311863489707038"/>
    <x v="171"/>
    <x v="171"/>
    <n v="5535002"/>
    <n v="5607283"/>
    <n v="5612253"/>
    <n v="5638676"/>
    <n v="5703569"/>
    <n v="5685807"/>
    <n v="5453566"/>
    <n v="5637022"/>
    <n v="5917648"/>
    <n v="6036860"/>
  </r>
  <r>
    <s v="Population, total"/>
    <s v="SP.POP.TOTL"/>
    <x v="172"/>
    <s v="SXM"/>
    <x v="4"/>
    <n v="54.484872242614301"/>
    <n v="1.2874107779984323"/>
    <x v="172"/>
    <x v="172"/>
    <n v="37471"/>
    <n v="38249"/>
    <n v="38996"/>
    <n v="39712"/>
    <n v="40385"/>
    <n v="41008"/>
    <n v="41571"/>
    <n v="42139"/>
    <n v="42749"/>
    <n v="43350"/>
  </r>
  <r>
    <s v="Population, total"/>
    <s v="SP.POP.TOTL"/>
    <x v="173"/>
    <s v="SVK"/>
    <x v="1"/>
    <n v="2.318884009943412"/>
    <n v="6.7446453609187884E-2"/>
    <x v="173"/>
    <x v="173"/>
    <n v="5423801"/>
    <n v="5430798"/>
    <n v="5439232"/>
    <n v="5446771"/>
    <n v="5454147"/>
    <n v="5458827"/>
    <n v="5447247"/>
    <n v="5431752"/>
    <n v="5426740"/>
    <n v="5422069"/>
  </r>
  <r>
    <s v="Population, total"/>
    <s v="SP.POP.TOTL"/>
    <x v="174"/>
    <s v="SVN"/>
    <x v="1"/>
    <n v="6.4140477168756673"/>
    <n v="0.18301258639725759"/>
    <x v="174"/>
    <x v="174"/>
    <n v="2063531"/>
    <n v="2065042"/>
    <n v="2066388"/>
    <n v="2073894"/>
    <n v="2088385"/>
    <n v="2102419"/>
    <n v="2108079"/>
    <n v="2112076"/>
    <n v="2120461"/>
    <n v="2126324"/>
  </r>
  <r>
    <s v="Population, total"/>
    <s v="SP.POP.TOTL"/>
    <x v="175"/>
    <s v="SLB"/>
    <x v="3"/>
    <n v="147.16701615701419"/>
    <n v="2.6971862057374896"/>
    <x v="175"/>
    <x v="175"/>
    <n v="639415"/>
    <n v="662379"/>
    <n v="685672"/>
    <n v="709101"/>
    <n v="728147"/>
    <n v="744498"/>
    <n v="762591"/>
    <n v="781066"/>
    <n v="800005"/>
    <n v="819198"/>
  </r>
  <r>
    <s v="Population, total"/>
    <s v="SP.POP.TOTL"/>
    <x v="176"/>
    <s v="SOM"/>
    <x v="2"/>
    <n v="168.38427567811706"/>
    <n v="2.9462430520610372"/>
    <x v="176"/>
    <x v="176"/>
    <n v="13806963"/>
    <n v="14348740"/>
    <n v="14916629"/>
    <n v="15452487"/>
    <n v="16030971"/>
    <n v="16651191"/>
    <n v="17271431"/>
    <n v="17801897"/>
    <n v="18358615"/>
    <n v="19009151"/>
  </r>
  <r>
    <s v="Population, total"/>
    <s v="SP.POP.TOTL"/>
    <x v="177"/>
    <s v="ZAF"/>
    <x v="2"/>
    <n v="57.087238026314459"/>
    <n v="1.337188280917001"/>
    <x v="177"/>
    <x v="177"/>
    <n v="56723537"/>
    <n v="57259551"/>
    <n v="57635162"/>
    <n v="58613001"/>
    <n v="59587885"/>
    <n v="60562381"/>
    <n v="61502603"/>
    <n v="62378410"/>
    <n v="63212384"/>
    <n v="64007187"/>
  </r>
  <r>
    <s v="Population, total"/>
    <s v="SP.POP.TOTL"/>
    <x v="178"/>
    <s v="SSD"/>
    <x v="2"/>
    <n v="152.0965216174406"/>
    <n v="2.7568517171437268"/>
    <x v="178"/>
    <x v="178"/>
    <n v="11107561"/>
    <n v="10830102"/>
    <n v="10259154"/>
    <n v="10122977"/>
    <n v="10423384"/>
    <n v="10698467"/>
    <n v="10865780"/>
    <n v="11021177"/>
    <n v="11483374"/>
    <n v="11943408"/>
  </r>
  <r>
    <s v="Population, total"/>
    <s v="SP.POP.TOTL"/>
    <x v="179"/>
    <s v="ESP"/>
    <x v="1"/>
    <n v="25.573706879007513"/>
    <n v="0.67202065781801767"/>
    <x v="179"/>
    <x v="179"/>
    <n v="46422303"/>
    <n v="46458139"/>
    <n v="46571232"/>
    <n v="46782011"/>
    <n v="47118501"/>
    <n v="47359424"/>
    <n v="47443821"/>
    <n v="47786102"/>
    <n v="48347910"/>
    <n v="48807137"/>
  </r>
  <r>
    <s v="Population, total"/>
    <s v="SP.POP.TOTL"/>
    <x v="180"/>
    <s v="LKA"/>
    <x v="0"/>
    <n v="34.022664971834814"/>
    <n v="0.86501019300588844"/>
    <x v="180"/>
    <x v="180"/>
    <n v="20970000"/>
    <n v="21209000"/>
    <n v="21453000"/>
    <n v="21670000"/>
    <n v="21803000"/>
    <n v="21919000"/>
    <n v="22156000"/>
    <n v="22181000"/>
    <n v="22037000"/>
    <n v="21916000"/>
  </r>
  <r>
    <s v="Population, total"/>
    <s v="SP.POP.TOTL"/>
    <x v="181"/>
    <s v="KNA"/>
    <x v="4"/>
    <n v="15.856252473288485"/>
    <n v="0.43382074201172571"/>
    <x v="181"/>
    <x v="181"/>
    <n v="47087"/>
    <n v="47075"/>
    <n v="47050"/>
    <n v="47008"/>
    <n v="46952"/>
    <n v="46870"/>
    <n v="46763"/>
    <n v="46709"/>
    <n v="46758"/>
    <n v="46843"/>
  </r>
  <r>
    <s v="Population, total"/>
    <s v="SP.POP.TOTL"/>
    <x v="182"/>
    <s v="LCA"/>
    <x v="4"/>
    <n v="30.384383818014321"/>
    <n v="0.78339584923543537"/>
    <x v="182"/>
    <x v="182"/>
    <n v="174905"/>
    <n v="175646"/>
    <n v="176342"/>
    <n v="177017"/>
    <n v="177661"/>
    <n v="178250"/>
    <n v="178522"/>
    <n v="178781"/>
    <n v="179285"/>
    <n v="179744"/>
  </r>
  <r>
    <s v="Population, total"/>
    <s v="SP.POP.TOTL"/>
    <x v="183"/>
    <s v="MAF"/>
    <x v="4"/>
    <n v="-7.4227607709750565"/>
    <n v="-0.22658664288743857"/>
    <x v="183"/>
    <x v="183"/>
    <n v="37369"/>
    <n v="37175"/>
    <n v="36837"/>
    <n v="36012"/>
    <n v="34267"/>
    <n v="31786"/>
    <n v="29961"/>
    <n v="28870"/>
    <n v="27515"/>
    <n v="26129"/>
  </r>
  <r>
    <s v="Population, total"/>
    <s v="SP.POP.TOTL"/>
    <x v="184"/>
    <s v="VCT"/>
    <x v="4"/>
    <n v="-10.013236504131935"/>
    <n v="-0.30983548299325925"/>
    <x v="184"/>
    <x v="184"/>
    <n v="106960"/>
    <n v="106349"/>
    <n v="105663"/>
    <n v="104926"/>
    <n v="104167"/>
    <n v="103526"/>
    <n v="102841"/>
    <n v="102046"/>
    <n v="101323"/>
    <n v="100616"/>
  </r>
  <r>
    <s v="Population, total"/>
    <s v="SP.POP.TOTL"/>
    <x v="185"/>
    <s v="SDN"/>
    <x v="2"/>
    <n v="129.08978283522347"/>
    <n v="2.4680339616638625"/>
    <x v="185"/>
    <x v="185"/>
    <n v="40024431"/>
    <n v="41259892"/>
    <n v="42714306"/>
    <n v="44230596"/>
    <n v="45548175"/>
    <n v="46789231"/>
    <n v="48066924"/>
    <n v="49383346"/>
    <n v="50042791"/>
    <n v="50448963"/>
  </r>
  <r>
    <s v="Population, total"/>
    <s v="SP.POP.TOTL"/>
    <x v="186"/>
    <s v="SUR"/>
    <x v="5"/>
    <n v="53.804064553822727"/>
    <n v="1.2742541208305758"/>
    <x v="186"/>
    <x v="186"/>
    <n v="581627"/>
    <n v="587757"/>
    <n v="593713"/>
    <n v="599513"/>
    <n v="605768"/>
    <n v="612317"/>
    <n v="617896"/>
    <n v="623164"/>
    <n v="628886"/>
    <n v="634431"/>
  </r>
  <r>
    <s v="Population, total"/>
    <s v="SP.POP.TOTL"/>
    <x v="187"/>
    <s v="SWE"/>
    <x v="1"/>
    <n v="23.49471627855894"/>
    <n v="0.62260128980842211"/>
    <x v="187"/>
    <x v="187"/>
    <n v="9799186"/>
    <n v="9923085"/>
    <n v="10057698"/>
    <n v="10175214"/>
    <n v="10278887"/>
    <n v="10353442"/>
    <n v="10415811"/>
    <n v="10486941"/>
    <n v="10536632"/>
    <n v="10569709"/>
  </r>
  <r>
    <s v="Population, total"/>
    <s v="SP.POP.TOTL"/>
    <x v="188"/>
    <s v="CHE"/>
    <x v="1"/>
    <n v="34.525745515722612"/>
    <n v="0.87612574381099595"/>
    <x v="188"/>
    <x v="188"/>
    <n v="8282396"/>
    <n v="8373338"/>
    <n v="8451840"/>
    <n v="8514329"/>
    <n v="8575280"/>
    <n v="8638167"/>
    <n v="8704546"/>
    <n v="8777088"/>
    <n v="8888093"/>
    <n v="9034102"/>
  </r>
  <r>
    <s v="Population, total"/>
    <s v="SP.POP.TOTL"/>
    <x v="189"/>
    <s v="SYR"/>
    <x v="0"/>
    <n v="96.139216395817613"/>
    <n v="2.0010955481968073"/>
    <x v="189"/>
    <x v="189"/>
    <n v="19424618"/>
    <n v="19193834"/>
    <n v="19224668"/>
    <n v="19577845"/>
    <n v="20353534"/>
    <n v="21049429"/>
    <n v="21628839"/>
    <n v="22462173"/>
    <n v="23594623"/>
    <n v="24672760"/>
  </r>
  <r>
    <s v="Population, total"/>
    <s v="SP.POP.TOTL"/>
    <x v="190"/>
    <s v="TJK"/>
    <x v="0"/>
    <n v="96.17303429226817"/>
    <n v="2.001612763941818"/>
    <x v="190"/>
    <x v="190"/>
    <n v="8643840"/>
    <n v="8865631"/>
    <n v="9085946"/>
    <n v="9307333"/>
    <n v="9529966"/>
    <n v="9749310"/>
    <n v="9966908"/>
    <n v="10182222"/>
    <n v="10389799"/>
    <n v="10590927"/>
  </r>
  <r>
    <s v="Population, total"/>
    <s v="SP.POP.TOTL"/>
    <x v="191"/>
    <s v="TZA"/>
    <x v="2"/>
    <n v="162.57990601146901"/>
    <n v="2.8800626979170962"/>
    <x v="191"/>
    <x v="191"/>
    <n v="52020962"/>
    <n v="53824013"/>
    <n v="55652890"/>
    <n v="57437145"/>
    <n v="59174891"/>
    <n v="60972798"/>
    <n v="62830412"/>
    <n v="64711821"/>
    <n v="66617606"/>
    <n v="68560157"/>
  </r>
  <r>
    <s v="Population, total"/>
    <s v="SP.POP.TOTL"/>
    <x v="192"/>
    <s v="THA"/>
    <x v="0"/>
    <n v="30.928386578991113"/>
    <n v="0.79573848051597285"/>
    <x v="192"/>
    <x v="192"/>
    <n v="70540795"/>
    <n v="70859841"/>
    <n v="71160187"/>
    <n v="71376079"/>
    <n v="71522271"/>
    <n v="71641484"/>
    <n v="71727332"/>
    <n v="71735329"/>
    <n v="71702435"/>
    <n v="71668011"/>
  </r>
  <r>
    <s v="Population, total"/>
    <s v="SP.POP.TOTL"/>
    <x v="193"/>
    <s v="TLS"/>
    <x v="0"/>
    <n v="84.210851652868101"/>
    <n v="1.8130361212275847"/>
    <x v="193"/>
    <x v="193"/>
    <n v="1205131"/>
    <n v="1228312"/>
    <n v="1251703"/>
    <n v="1275959"/>
    <n v="1300945"/>
    <n v="1326053"/>
    <n v="1350139"/>
    <n v="1369295"/>
    <n v="1384286"/>
    <n v="1400638"/>
  </r>
  <r>
    <s v="Population, total"/>
    <s v="SP.POP.TOTL"/>
    <x v="194"/>
    <s v="TGO"/>
    <x v="2"/>
    <n v="137.95460643934459"/>
    <n v="2.5825183010098174"/>
    <x v="194"/>
    <x v="194"/>
    <n v="7663195"/>
    <n v="7858289"/>
    <n v="8057140"/>
    <n v="8258778"/>
    <n v="8463068"/>
    <n v="8669720"/>
    <n v="8878379"/>
    <n v="9089738"/>
    <n v="9304337"/>
    <n v="9515236"/>
  </r>
  <r>
    <s v="Population, total"/>
    <s v="SP.POP.TOTL"/>
    <x v="195"/>
    <s v="TON"/>
    <x v="3"/>
    <n v="4.4884653961885661"/>
    <n v="0.12922018313294981"/>
    <x v="195"/>
    <x v="195"/>
    <n v="106095"/>
    <n v="105524"/>
    <n v="105356"/>
    <n v="105567"/>
    <n v="105669"/>
    <n v="105704"/>
    <n v="105490"/>
    <n v="105042"/>
    <n v="104597"/>
    <n v="104175"/>
  </r>
  <r>
    <s v="Population, total"/>
    <s v="SP.POP.TOTL"/>
    <x v="196"/>
    <s v="TTO"/>
    <x v="4"/>
    <n v="9.2736190792583972"/>
    <n v="0.26117817621704731"/>
    <x v="196"/>
    <x v="196"/>
    <n v="1349667"/>
    <n v="1353895"/>
    <n v="1356633"/>
    <n v="1359193"/>
    <n v="1363985"/>
    <n v="1366725"/>
    <n v="1367558"/>
    <n v="1365805"/>
    <n v="1367510"/>
    <n v="1368333"/>
  </r>
  <r>
    <s v="Population, total"/>
    <s v="SP.POP.TOTL"/>
    <x v="197"/>
    <s v="TUN"/>
    <x v="2"/>
    <n v="47.481479087835694"/>
    <n v="1.1492966444043073"/>
    <x v="197"/>
    <x v="197"/>
    <n v="11402264"/>
    <n v="11528674"/>
    <n v="11650498"/>
    <n v="11765514"/>
    <n v="11875081"/>
    <n v="11974057"/>
    <n v="12048622"/>
    <n v="12119334"/>
    <n v="12200431"/>
    <n v="12277109"/>
  </r>
  <r>
    <s v="Population, total"/>
    <s v="SP.POP.TOTL"/>
    <x v="198"/>
    <s v="TUR"/>
    <x v="0"/>
    <n v="52.669289006275179"/>
    <n v="1.252198358673251"/>
    <x v="198"/>
    <x v="198"/>
    <n v="78218479"/>
    <n v="79277962"/>
    <n v="80312698"/>
    <n v="81407204"/>
    <n v="82579440"/>
    <n v="83384680"/>
    <n v="84147318"/>
    <n v="84979913"/>
    <n v="85325965"/>
    <n v="85518661"/>
  </r>
  <r>
    <s v="Population, total"/>
    <s v="SP.POP.TOTL"/>
    <x v="199"/>
    <s v="TKM"/>
    <x v="0"/>
    <n v="99.291967530385079"/>
    <n v="2.048945966724447"/>
    <x v="199"/>
    <x v="199"/>
    <n v="6215770"/>
    <n v="6360041"/>
    <n v="6507061"/>
    <n v="6655524"/>
    <n v="6803944"/>
    <n v="6949912"/>
    <n v="7092043"/>
    <n v="7230193"/>
    <n v="7364438"/>
    <n v="7494498"/>
  </r>
  <r>
    <s v="Population, total"/>
    <s v="SP.POP.TOTL"/>
    <x v="200"/>
    <s v="TCA"/>
    <x v="4"/>
    <n v="298.14339493497607"/>
    <n v="4.147349308243431"/>
    <x v="200"/>
    <x v="200"/>
    <n v="36605"/>
    <n v="38315"/>
    <n v="39913"/>
    <n v="41559"/>
    <n v="43166"/>
    <n v="44386"/>
    <n v="45243"/>
    <n v="45847"/>
    <n v="46198"/>
    <n v="46535"/>
  </r>
  <r>
    <s v="Population, total"/>
    <s v="SP.POP.TOTL"/>
    <x v="201"/>
    <s v="TUV"/>
    <x v="3"/>
    <n v="9.6385542168674707"/>
    <n v="0.27101039077732647"/>
    <x v="201"/>
    <x v="201"/>
    <n v="10963"/>
    <n v="10930"/>
    <n v="10869"/>
    <n v="10751"/>
    <n v="10581"/>
    <n v="10399"/>
    <n v="10194"/>
    <n v="9992"/>
    <n v="9816"/>
    <n v="9646"/>
  </r>
  <r>
    <s v="Population, total"/>
    <s v="SP.POP.TOTL"/>
    <x v="202"/>
    <s v="UGA"/>
    <x v="2"/>
    <n v="184.663546974692"/>
    <n v="3.1247008326778847"/>
    <x v="202"/>
    <x v="202"/>
    <n v="37531446"/>
    <n v="38799152"/>
    <n v="40177388"/>
    <n v="41565831"/>
    <n v="42999637"/>
    <n v="44457152"/>
    <n v="45910930"/>
    <n v="47312719"/>
    <n v="48656601"/>
    <n v="50015092"/>
  </r>
  <r>
    <s v="Population, total"/>
    <s v="SP.POP.TOTL"/>
    <x v="203"/>
    <s v="UKR"/>
    <x v="1"/>
    <n v="-27.26754123383806"/>
    <n v="-0.93204815060642376"/>
    <x v="203"/>
    <x v="203"/>
    <n v="45784896"/>
    <n v="45616832"/>
    <n v="45436041"/>
    <n v="45208907"/>
    <n v="44957458"/>
    <n v="44680014"/>
    <n v="44298640"/>
    <n v="41048766"/>
    <n v="37732836"/>
    <n v="37860221"/>
  </r>
  <r>
    <s v="Population, total"/>
    <s v="SP.POP.TOTL"/>
    <x v="204"/>
    <s v="ARE"/>
    <x v="0"/>
    <n v="473.00950364025243"/>
    <n v="5.2686072839977172"/>
    <x v="204"/>
    <x v="204"/>
    <n v="8505237"/>
    <n v="8935095"/>
    <n v="9223225"/>
    <n v="9346701"/>
    <n v="9445785"/>
    <n v="9401038"/>
    <n v="9575152"/>
    <n v="10074977"/>
    <n v="10483751"/>
    <n v="10876981"/>
  </r>
  <r>
    <s v="Population, total"/>
    <s v="SP.POP.TOTL"/>
    <x v="205"/>
    <s v="GBR"/>
    <x v="1"/>
    <n v="20.923876161345913"/>
    <n v="0.56036135709940371"/>
    <x v="205"/>
    <x v="205"/>
    <n v="65088000"/>
    <n v="65607000"/>
    <n v="65966000"/>
    <n v="66289000"/>
    <n v="66631000"/>
    <n v="66744000"/>
    <n v="66984000"/>
    <n v="67604000"/>
    <n v="68492000"/>
    <n v="69226000"/>
  </r>
  <r>
    <s v="Population, total"/>
    <s v="SP.POP.TOTL"/>
    <x v="206"/>
    <s v="USA"/>
    <x v="4"/>
    <n v="36.2498599888632"/>
    <n v="0.91391629617907366"/>
    <x v="206"/>
    <x v="206"/>
    <n v="321815121"/>
    <n v="324353340"/>
    <n v="326608609"/>
    <n v="328529577"/>
    <n v="330226227"/>
    <n v="331577720"/>
    <n v="332099760"/>
    <n v="334017321"/>
    <n v="336806231"/>
    <n v="340110988"/>
  </r>
  <r>
    <s v="Population, total"/>
    <s v="SP.POP.TOTL"/>
    <x v="207"/>
    <s v="URY"/>
    <x v="5"/>
    <n v="9.0898314426316436"/>
    <n v="0.25621442988765786"/>
    <x v="207"/>
    <x v="207"/>
    <n v="3368017"/>
    <n v="3379283"/>
    <n v="3388438"/>
    <n v="3394534"/>
    <n v="3397206"/>
    <n v="3398968"/>
    <n v="3396695"/>
    <n v="3390913"/>
    <n v="3388081"/>
    <n v="3386588"/>
  </r>
  <r>
    <s v="Population, total"/>
    <s v="SP.POP.TOTL"/>
    <x v="208"/>
    <s v="UZB"/>
    <x v="0"/>
    <n v="77.678657115119137"/>
    <n v="1.7049788017756917"/>
    <x v="208"/>
    <x v="208"/>
    <n v="30749346"/>
    <n v="31284568"/>
    <n v="31819178"/>
    <n v="32373490"/>
    <n v="32964701"/>
    <n v="33586372"/>
    <n v="34243696"/>
    <n v="34938955"/>
    <n v="35652307"/>
    <n v="36361859"/>
  </r>
  <r>
    <s v="Population, total"/>
    <s v="SP.POP.TOTL"/>
    <x v="209"/>
    <s v="VUT"/>
    <x v="3"/>
    <n v="121.37671126479945"/>
    <n v="2.3648699829498021"/>
    <x v="209"/>
    <x v="209"/>
    <n v="266101"/>
    <n v="272087"/>
    <n v="278507"/>
    <n v="285259"/>
    <n v="291985"/>
    <n v="298858"/>
    <n v="305868"/>
    <n v="313046"/>
    <n v="320409"/>
    <n v="327777"/>
  </r>
  <r>
    <s v="Population, total"/>
    <s v="SP.POP.TOTL"/>
    <x v="210"/>
    <s v="VEN"/>
    <x v="5"/>
    <n v="43.266902069449706"/>
    <n v="1.063079050506599"/>
    <x v="210"/>
    <x v="210"/>
    <n v="30573972"/>
    <n v="30765720"/>
    <n v="30565323"/>
    <n v="29807592"/>
    <n v="28938098"/>
    <n v="28444077"/>
    <n v="28237826"/>
    <n v="28213017"/>
    <n v="28300854"/>
    <n v="28405543"/>
  </r>
  <r>
    <s v="Population, total"/>
    <s v="SP.POP.TOTL"/>
    <x v="211"/>
    <s v="VNM"/>
    <x v="0"/>
    <n v="54.168959128214475"/>
    <n v="1.2813127472681929"/>
    <x v="211"/>
    <x v="211"/>
    <n v="92823254"/>
    <n v="94000117"/>
    <n v="95176977"/>
    <n v="96237319"/>
    <n v="97173776"/>
    <n v="98079191"/>
    <n v="98935098"/>
    <n v="99680655"/>
    <n v="100352192"/>
    <n v="100987686"/>
  </r>
  <r>
    <s v="Population, total"/>
    <s v="SP.POP.TOTL"/>
    <x v="212"/>
    <s v="VIR"/>
    <x v="4"/>
    <n v="0.39821859700085604"/>
    <n v="1.1689736297504361E-2"/>
    <x v="212"/>
    <x v="212"/>
    <n v="107712"/>
    <n v="107516"/>
    <n v="107281"/>
    <n v="107001"/>
    <n v="106669"/>
    <n v="106290"/>
    <n v="105870"/>
    <n v="105413"/>
    <n v="104917"/>
    <n v="104377"/>
  </r>
  <r>
    <s v="Population, total"/>
    <s v="SP.POP.TOTL"/>
    <x v="213"/>
    <s v="PSE"/>
    <x v="0"/>
    <n v="167.3654668171028"/>
    <n v="2.9347279297206708"/>
    <x v="213"/>
    <x v="213"/>
    <n v="4270092"/>
    <n v="4367088"/>
    <n v="4454805"/>
    <n v="4569087"/>
    <n v="4685306"/>
    <n v="4803269"/>
    <n v="4922749"/>
    <n v="5043612"/>
    <n v="5165775"/>
    <n v="5289152"/>
  </r>
  <r>
    <s v="Population, total"/>
    <s v="SP.POP.TOTL"/>
    <x v="214"/>
    <s v="YEM"/>
    <x v="0"/>
    <n v="192.22038640648935"/>
    <n v="3.2041991099430289"/>
    <x v="214"/>
    <x v="214"/>
    <n v="31159379"/>
    <n v="32109010"/>
    <n v="33090921"/>
    <n v="34085182"/>
    <n v="35111408"/>
    <n v="36134863"/>
    <n v="37140230"/>
    <n v="38222876"/>
    <n v="39390799"/>
    <n v="40583164"/>
  </r>
  <r>
    <s v="Population, total"/>
    <s v="SP.POP.TOTL"/>
    <x v="215"/>
    <s v="ZMB"/>
    <x v="2"/>
    <n v="173.75408882083087"/>
    <n v="3.0062430650922733"/>
    <x v="215"/>
    <x v="215"/>
    <n v="16399089"/>
    <n v="16914423"/>
    <n v="17441320"/>
    <n v="17973569"/>
    <n v="18513839"/>
    <n v="19059395"/>
    <n v="19603607"/>
    <n v="20152938"/>
    <n v="20723965"/>
    <n v="21314956"/>
  </r>
  <r>
    <s v="Population, total"/>
    <s v="SP.POP.TOTL"/>
    <x v="216"/>
    <s v="ZWE"/>
    <x v="2"/>
    <n v="64.091071363218603"/>
    <n v="1.4672822000470376"/>
    <x v="216"/>
    <x v="216"/>
    <n v="14399013"/>
    <n v="14600294"/>
    <n v="14812482"/>
    <n v="15034452"/>
    <n v="15271368"/>
    <n v="15526888"/>
    <n v="15797210"/>
    <n v="16069056"/>
    <n v="16340822"/>
    <n v="16634373"/>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r>
    <m/>
    <m/>
    <x v="217"/>
    <m/>
    <x v="6"/>
    <m/>
    <m/>
    <x v="217"/>
    <x v="217"/>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A3:B9" firstHeaderRow="1" firstDataRow="1" firstDataCol="1"/>
  <pivotFields count="19">
    <pivotField showAll="0"/>
    <pivotField showAll="0"/>
    <pivotField showAl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showAll="0"/>
    <pivotField axis="axisRow" showAll="0" sortType="descending">
      <items count="8">
        <item x="2"/>
        <item x="0"/>
        <item x="1"/>
        <item x="4"/>
        <item x="3"/>
        <item x="5"/>
        <item h="1" x="6"/>
        <item t="default"/>
      </items>
      <autoSortScope>
        <pivotArea dataOnly="0" outline="0" fieldPosition="0">
          <references count="1">
            <reference field="4294967294" count="1" selected="0">
              <x v="0"/>
            </reference>
          </references>
        </pivotArea>
      </autoSortScope>
    </pivotField>
    <pivotField showAll="0"/>
    <pivotField showAll="0"/>
    <pivotField showAll="0">
      <items count="219">
        <item x="201"/>
        <item x="137"/>
        <item x="200"/>
        <item x="150"/>
        <item x="27"/>
        <item x="164"/>
        <item x="36"/>
        <item x="75"/>
        <item x="172"/>
        <item x="183"/>
        <item x="114"/>
        <item x="130"/>
        <item x="181"/>
        <item x="146"/>
        <item x="124"/>
        <item x="3"/>
        <item x="65"/>
        <item x="4"/>
        <item x="77"/>
        <item x="21"/>
        <item x="9"/>
        <item x="6"/>
        <item x="94"/>
        <item x="169"/>
        <item x="55"/>
        <item x="102"/>
        <item x="195"/>
        <item x="78"/>
        <item x="128"/>
        <item x="212"/>
        <item x="184"/>
        <item x="165"/>
        <item x="182"/>
        <item x="79"/>
        <item x="39"/>
        <item x="50"/>
        <item x="209"/>
        <item x="163"/>
        <item x="140"/>
        <item x="19"/>
        <item x="69"/>
        <item x="121"/>
        <item x="88"/>
        <item x="28"/>
        <item x="16"/>
        <item x="13"/>
        <item x="175"/>
        <item x="117"/>
        <item x="123"/>
        <item x="32"/>
        <item x="116"/>
        <item x="186"/>
        <item x="159"/>
        <item x="43"/>
        <item x="60"/>
        <item x="14"/>
        <item x="54"/>
        <item x="22"/>
        <item x="132"/>
        <item x="83"/>
        <item x="193"/>
        <item x="66"/>
        <item x="51"/>
        <item x="63"/>
        <item x="82"/>
        <item x="70"/>
        <item x="71"/>
        <item x="126"/>
        <item x="196"/>
        <item x="25"/>
        <item x="136"/>
        <item x="62"/>
        <item x="106"/>
        <item x="148"/>
        <item x="111"/>
        <item x="204"/>
        <item x="125"/>
        <item x="105"/>
        <item x="213"/>
        <item x="174"/>
        <item x="61"/>
        <item x="145"/>
        <item x="131"/>
        <item x="112"/>
        <item x="97"/>
        <item x="45"/>
        <item x="151"/>
        <item x="109"/>
        <item x="37"/>
        <item x="129"/>
        <item x="171"/>
        <item x="207"/>
        <item x="46"/>
        <item x="1"/>
        <item x="141"/>
        <item x="93"/>
        <item x="158"/>
        <item x="8"/>
        <item x="110"/>
        <item x="99"/>
        <item x="115"/>
        <item x="199"/>
        <item x="152"/>
        <item x="194"/>
        <item x="153"/>
        <item x="142"/>
        <item x="170"/>
        <item x="147"/>
        <item x="108"/>
        <item x="107"/>
        <item x="113"/>
        <item x="24"/>
        <item x="95"/>
        <item x="178"/>
        <item x="48"/>
        <item x="72"/>
        <item x="85"/>
        <item x="67"/>
        <item x="53"/>
        <item x="20"/>
        <item x="173"/>
        <item x="190"/>
        <item x="59"/>
        <item x="31"/>
        <item x="86"/>
        <item x="38"/>
        <item x="81"/>
        <item x="188"/>
        <item x="84"/>
        <item x="176"/>
        <item x="23"/>
        <item x="56"/>
        <item x="12"/>
        <item x="33"/>
        <item x="162"/>
        <item x="11"/>
        <item x="167"/>
        <item x="215"/>
        <item x="168"/>
        <item x="143"/>
        <item x="197"/>
        <item x="187"/>
        <item x="29"/>
        <item x="80"/>
        <item x="30"/>
        <item x="122"/>
        <item x="119"/>
        <item x="18"/>
        <item x="157"/>
        <item x="216"/>
        <item x="17"/>
        <item x="76"/>
        <item x="52"/>
        <item x="87"/>
        <item x="57"/>
        <item x="49"/>
        <item x="166"/>
        <item x="34"/>
        <item x="5"/>
        <item x="0"/>
        <item x="118"/>
        <item x="47"/>
        <item x="189"/>
        <item x="134"/>
        <item x="40"/>
        <item x="214"/>
        <item x="139"/>
        <item x="74"/>
        <item x="180"/>
        <item x="10"/>
        <item x="100"/>
        <item x="202"/>
        <item x="92"/>
        <item x="120"/>
        <item x="138"/>
        <item x="210"/>
        <item x="208"/>
        <item x="103"/>
        <item x="154"/>
        <item x="185"/>
        <item x="101"/>
        <item x="160"/>
        <item x="133"/>
        <item x="2"/>
        <item x="191"/>
        <item x="35"/>
        <item x="42"/>
        <item x="7"/>
        <item x="44"/>
        <item x="156"/>
        <item x="179"/>
        <item x="135"/>
        <item x="177"/>
        <item x="104"/>
        <item x="64"/>
        <item x="203"/>
        <item x="192"/>
        <item x="198"/>
        <item x="96"/>
        <item x="205"/>
        <item x="68"/>
        <item x="91"/>
        <item x="58"/>
        <item x="155"/>
        <item x="211"/>
        <item x="73"/>
        <item x="127"/>
        <item x="144"/>
        <item x="15"/>
        <item x="149"/>
        <item x="98"/>
        <item x="161"/>
        <item x="26"/>
        <item x="90"/>
        <item x="206"/>
        <item x="89"/>
        <item x="41"/>
        <item x="217"/>
        <item t="default"/>
      </items>
    </pivotField>
    <pivotField showAll="0">
      <items count="219">
        <item x="201"/>
        <item x="137"/>
        <item x="200"/>
        <item x="150"/>
        <item x="27"/>
        <item x="164"/>
        <item x="75"/>
        <item x="183"/>
        <item x="172"/>
        <item x="130"/>
        <item x="114"/>
        <item x="36"/>
        <item x="181"/>
        <item x="65"/>
        <item x="124"/>
        <item x="77"/>
        <item x="3"/>
        <item x="21"/>
        <item x="4"/>
        <item x="146"/>
        <item x="55"/>
        <item x="6"/>
        <item x="94"/>
        <item x="169"/>
        <item x="102"/>
        <item x="9"/>
        <item x="195"/>
        <item x="78"/>
        <item x="212"/>
        <item x="128"/>
        <item x="184"/>
        <item x="50"/>
        <item x="165"/>
        <item x="39"/>
        <item x="182"/>
        <item x="79"/>
        <item x="163"/>
        <item x="209"/>
        <item x="140"/>
        <item x="69"/>
        <item x="19"/>
        <item x="16"/>
        <item x="88"/>
        <item x="121"/>
        <item x="13"/>
        <item x="28"/>
        <item x="123"/>
        <item x="117"/>
        <item x="116"/>
        <item x="175"/>
        <item x="32"/>
        <item x="186"/>
        <item x="43"/>
        <item x="22"/>
        <item x="132"/>
        <item x="14"/>
        <item x="159"/>
        <item x="60"/>
        <item x="193"/>
        <item x="54"/>
        <item x="83"/>
        <item x="66"/>
        <item x="51"/>
        <item x="63"/>
        <item x="126"/>
        <item x="82"/>
        <item x="70"/>
        <item x="196"/>
        <item x="62"/>
        <item x="71"/>
        <item x="25"/>
        <item x="105"/>
        <item x="136"/>
        <item x="106"/>
        <item x="174"/>
        <item x="111"/>
        <item x="145"/>
        <item x="61"/>
        <item x="148"/>
        <item x="109"/>
        <item x="131"/>
        <item x="97"/>
        <item x="125"/>
        <item x="213"/>
        <item x="129"/>
        <item x="112"/>
        <item x="151"/>
        <item x="1"/>
        <item x="45"/>
        <item x="8"/>
        <item x="207"/>
        <item x="204"/>
        <item x="115"/>
        <item x="93"/>
        <item x="158"/>
        <item x="37"/>
        <item x="141"/>
        <item x="46"/>
        <item x="171"/>
        <item x="72"/>
        <item x="24"/>
        <item x="110"/>
        <item x="170"/>
        <item x="48"/>
        <item x="147"/>
        <item x="199"/>
        <item x="107"/>
        <item x="142"/>
        <item x="153"/>
        <item x="194"/>
        <item x="67"/>
        <item x="113"/>
        <item x="53"/>
        <item x="99"/>
        <item x="173"/>
        <item x="108"/>
        <item x="152"/>
        <item x="59"/>
        <item x="178"/>
        <item x="190"/>
        <item x="95"/>
        <item x="31"/>
        <item x="85"/>
        <item x="86"/>
        <item x="188"/>
        <item x="20"/>
        <item x="168"/>
        <item x="11"/>
        <item x="12"/>
        <item x="29"/>
        <item x="162"/>
        <item x="84"/>
        <item x="81"/>
        <item x="38"/>
        <item x="56"/>
        <item x="23"/>
        <item x="176"/>
        <item x="187"/>
        <item x="197"/>
        <item x="167"/>
        <item x="17"/>
        <item x="215"/>
        <item x="87"/>
        <item x="18"/>
        <item x="52"/>
        <item x="157"/>
        <item x="76"/>
        <item x="49"/>
        <item x="119"/>
        <item x="143"/>
        <item x="122"/>
        <item x="80"/>
        <item x="216"/>
        <item x="30"/>
        <item x="33"/>
        <item x="57"/>
        <item x="34"/>
        <item x="100"/>
        <item x="40"/>
        <item x="139"/>
        <item x="166"/>
        <item x="5"/>
        <item x="118"/>
        <item x="189"/>
        <item x="47"/>
        <item x="134"/>
        <item x="10"/>
        <item x="180"/>
        <item x="214"/>
        <item x="74"/>
        <item x="0"/>
        <item x="160"/>
        <item x="120"/>
        <item x="103"/>
        <item x="202"/>
        <item x="92"/>
        <item x="210"/>
        <item x="138"/>
        <item x="208"/>
        <item x="154"/>
        <item x="185"/>
        <item x="133"/>
        <item x="101"/>
        <item x="35"/>
        <item x="2"/>
        <item x="191"/>
        <item x="7"/>
        <item x="156"/>
        <item x="42"/>
        <item x="179"/>
        <item x="135"/>
        <item x="104"/>
        <item x="177"/>
        <item x="203"/>
        <item x="44"/>
        <item x="96"/>
        <item x="205"/>
        <item x="68"/>
        <item x="192"/>
        <item x="198"/>
        <item x="91"/>
        <item x="64"/>
        <item x="58"/>
        <item x="211"/>
        <item x="155"/>
        <item x="73"/>
        <item x="127"/>
        <item x="144"/>
        <item x="98"/>
        <item x="15"/>
        <item x="161"/>
        <item x="149"/>
        <item x="26"/>
        <item x="90"/>
        <item x="206"/>
        <item x="89"/>
        <item x="41"/>
        <item x="217"/>
        <item t="default"/>
      </items>
    </pivotField>
    <pivotField showAll="0"/>
    <pivotField showAll="0"/>
    <pivotField showAll="0"/>
    <pivotField showAll="0"/>
    <pivotField showAll="0"/>
    <pivotField showAll="0"/>
    <pivotField showAll="0"/>
    <pivotField showAll="0"/>
    <pivotField showAll="0"/>
    <pivotField dataField="1" showAll="0"/>
  </pivotFields>
  <rowFields count="1">
    <field x="4"/>
  </rowFields>
  <rowItems count="6">
    <i>
      <x v="1"/>
    </i>
    <i>
      <x/>
    </i>
    <i>
      <x v="2"/>
    </i>
    <i>
      <x v="3"/>
    </i>
    <i>
      <x v="5"/>
    </i>
    <i>
      <x v="4"/>
    </i>
  </rowItems>
  <colItems count="1">
    <i/>
  </colItems>
  <dataFields count="1">
    <dataField name="Sum of 2024 [YR2024]" fld="18" baseField="0" baseItem="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5"/>
          </reference>
        </references>
      </pivotArea>
    </chartFormat>
    <chartFormat chart="0" format="6">
      <pivotArea type="data" outline="0" fieldPosition="0">
        <references count="2">
          <reference field="4294967294" count="1" selected="0">
            <x v="0"/>
          </reference>
          <reference field="4" count="1" selected="0">
            <x v="4"/>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4" count="1" selected="0">
            <x v="0"/>
          </reference>
        </references>
      </pivotArea>
    </chartFormat>
    <chartFormat chart="2" format="15">
      <pivotArea type="data" outline="0" fieldPosition="0">
        <references count="2">
          <reference field="4294967294" count="1" selected="0">
            <x v="0"/>
          </reference>
          <reference field="4" count="1" selected="0">
            <x v="2"/>
          </reference>
        </references>
      </pivotArea>
    </chartFormat>
    <chartFormat chart="2" format="16">
      <pivotArea type="data" outline="0" fieldPosition="0">
        <references count="2">
          <reference field="4294967294" count="1" selected="0">
            <x v="0"/>
          </reference>
          <reference field="4" count="1" selected="0">
            <x v="3"/>
          </reference>
        </references>
      </pivotArea>
    </chartFormat>
    <chartFormat chart="2" format="17">
      <pivotArea type="data" outline="0" fieldPosition="0">
        <references count="2">
          <reference field="4294967294" count="1" selected="0">
            <x v="0"/>
          </reference>
          <reference field="4" count="1" selected="0">
            <x v="5"/>
          </reference>
        </references>
      </pivotArea>
    </chartFormat>
    <chartFormat chart="2" format="18">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A3:B8" firstHeaderRow="1" firstDataRow="1" firstDataCol="1"/>
  <pivotFields count="19">
    <pivotField showAll="0"/>
    <pivotField showAll="0"/>
    <pivotField axis="axisRow" showAll="0" measureFilter="1" sortType="descending">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autoSortScope>
        <pivotArea dataOnly="0" outline="0" fieldPosition="0">
          <references count="1">
            <reference field="4294967294" count="1" selected="0">
              <x v="0"/>
            </reference>
          </references>
        </pivotArea>
      </autoSortScope>
    </pivotField>
    <pivotField showAll="0"/>
    <pivotField showAll="0">
      <items count="8">
        <item x="2"/>
        <item x="0"/>
        <item x="1"/>
        <item x="4"/>
        <item x="3"/>
        <item x="5"/>
        <item h="1"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v="159"/>
    </i>
    <i>
      <x v="204"/>
    </i>
    <i>
      <x v="60"/>
    </i>
    <i>
      <x v="200"/>
    </i>
    <i>
      <x/>
    </i>
  </rowItems>
  <colItems count="1">
    <i/>
  </colItems>
  <dataFields count="1">
    <dataField name="Sum of Growth Rate %" fld="5" baseField="2" baseItem="0" numFmtId="2"/>
  </dataFields>
  <chartFormats count="12">
    <chartFormat chart="1" format="13" series="1">
      <pivotArea type="data" outline="0" fieldPosition="0">
        <references count="1">
          <reference field="4294967294" count="1" selected="0">
            <x v="0"/>
          </reference>
        </references>
      </pivotArea>
    </chartFormat>
    <chartFormat chart="1" format="14">
      <pivotArea type="data" outline="0" fieldPosition="0">
        <references count="2">
          <reference field="4294967294" count="1" selected="0">
            <x v="0"/>
          </reference>
          <reference field="2" count="1" selected="0">
            <x v="159"/>
          </reference>
        </references>
      </pivotArea>
    </chartFormat>
    <chartFormat chart="1" format="15">
      <pivotArea type="data" outline="0" fieldPosition="0">
        <references count="2">
          <reference field="4294967294" count="1" selected="0">
            <x v="0"/>
          </reference>
          <reference field="2" count="1" selected="0">
            <x v="204"/>
          </reference>
        </references>
      </pivotArea>
    </chartFormat>
    <chartFormat chart="1" format="16">
      <pivotArea type="data" outline="0" fieldPosition="0">
        <references count="2">
          <reference field="4294967294" count="1" selected="0">
            <x v="0"/>
          </reference>
          <reference field="2" count="1" selected="0">
            <x v="60"/>
          </reference>
        </references>
      </pivotArea>
    </chartFormat>
    <chartFormat chart="1" format="17">
      <pivotArea type="data" outline="0" fieldPosition="0">
        <references count="2">
          <reference field="4294967294" count="1" selected="0">
            <x v="0"/>
          </reference>
          <reference field="2" count="1" selected="0">
            <x v="200"/>
          </reference>
        </references>
      </pivotArea>
    </chartFormat>
    <chartFormat chart="1" format="18">
      <pivotArea type="data" outline="0" fieldPosition="0">
        <references count="2">
          <reference field="4294967294" count="1" selected="0">
            <x v="0"/>
          </reference>
          <reference field="2" count="1" selected="0">
            <x v="0"/>
          </reference>
        </references>
      </pivotArea>
    </chartFormat>
    <chartFormat chart="3" format="25" series="1">
      <pivotArea type="data" outline="0" fieldPosition="0">
        <references count="1">
          <reference field="4294967294" count="1" selected="0">
            <x v="0"/>
          </reference>
        </references>
      </pivotArea>
    </chartFormat>
    <chartFormat chart="3" format="26">
      <pivotArea type="data" outline="0" fieldPosition="0">
        <references count="2">
          <reference field="4294967294" count="1" selected="0">
            <x v="0"/>
          </reference>
          <reference field="2" count="1" selected="0">
            <x v="159"/>
          </reference>
        </references>
      </pivotArea>
    </chartFormat>
    <chartFormat chart="3" format="27">
      <pivotArea type="data" outline="0" fieldPosition="0">
        <references count="2">
          <reference field="4294967294" count="1" selected="0">
            <x v="0"/>
          </reference>
          <reference field="2" count="1" selected="0">
            <x v="204"/>
          </reference>
        </references>
      </pivotArea>
    </chartFormat>
    <chartFormat chart="3" format="28">
      <pivotArea type="data" outline="0" fieldPosition="0">
        <references count="2">
          <reference field="4294967294" count="1" selected="0">
            <x v="0"/>
          </reference>
          <reference field="2" count="1" selected="0">
            <x v="60"/>
          </reference>
        </references>
      </pivotArea>
    </chartFormat>
    <chartFormat chart="3" format="29">
      <pivotArea type="data" outline="0" fieldPosition="0">
        <references count="2">
          <reference field="4294967294" count="1" selected="0">
            <x v="0"/>
          </reference>
          <reference field="2" count="1" selected="0">
            <x v="200"/>
          </reference>
        </references>
      </pivotArea>
    </chartFormat>
    <chartFormat chart="3" format="30">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A3:B8" firstHeaderRow="1" firstDataRow="1" firstDataCol="1"/>
  <pivotFields count="19">
    <pivotField showAll="0"/>
    <pivotField showAll="0"/>
    <pivotField axis="axisRow" showAll="0" measureFilter="1" sortType="ascending">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autoSortScope>
        <pivotArea dataOnly="0" outline="0" fieldPosition="0">
          <references count="1">
            <reference field="4294967294" count="1" selected="0">
              <x v="0"/>
            </reference>
          </references>
        </pivotArea>
      </autoSortScope>
    </pivotField>
    <pivotField showAll="0"/>
    <pivotField showAll="0">
      <items count="8">
        <item x="2"/>
        <item x="0"/>
        <item x="1"/>
        <item x="4"/>
        <item x="3"/>
        <item x="5"/>
        <item h="1"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v="109"/>
    </i>
    <i>
      <x v="24"/>
    </i>
    <i>
      <x v="203"/>
    </i>
    <i>
      <x v="29"/>
    </i>
    <i>
      <x v="72"/>
    </i>
  </rowItems>
  <colItems count="1">
    <i/>
  </colItems>
  <dataFields count="1">
    <dataField name="Average of Growth Rate %" fld="5" subtotal="average" baseField="4" baseItem="0" numFmtId="2"/>
  </dataFields>
  <chartFormats count="19">
    <chartFormat chart="1" format="13"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0"/>
          </reference>
        </references>
      </pivotArea>
    </chartFormat>
    <chartFormat chart="2" format="30">
      <pivotArea type="data" outline="0" fieldPosition="0">
        <references count="2">
          <reference field="4294967294" count="1" selected="0">
            <x v="0"/>
          </reference>
          <reference field="2" count="1" selected="0">
            <x v="109"/>
          </reference>
        </references>
      </pivotArea>
    </chartFormat>
    <chartFormat chart="2" format="31">
      <pivotArea type="data" outline="0" fieldPosition="0">
        <references count="2">
          <reference field="4294967294" count="1" selected="0">
            <x v="0"/>
          </reference>
          <reference field="2" count="1" selected="0">
            <x v="24"/>
          </reference>
        </references>
      </pivotArea>
    </chartFormat>
    <chartFormat chart="2" format="32">
      <pivotArea type="data" outline="0" fieldPosition="0">
        <references count="2">
          <reference field="4294967294" count="1" selected="0">
            <x v="0"/>
          </reference>
          <reference field="2" count="1" selected="0">
            <x v="203"/>
          </reference>
        </references>
      </pivotArea>
    </chartFormat>
    <chartFormat chart="2" format="33">
      <pivotArea type="data" outline="0" fieldPosition="0">
        <references count="2">
          <reference field="4294967294" count="1" selected="0">
            <x v="0"/>
          </reference>
          <reference field="2" count="1" selected="0">
            <x v="29"/>
          </reference>
        </references>
      </pivotArea>
    </chartFormat>
    <chartFormat chart="2" format="34">
      <pivotArea type="data" outline="0" fieldPosition="0">
        <references count="2">
          <reference field="4294967294" count="1" selected="0">
            <x v="0"/>
          </reference>
          <reference field="2" count="1" selected="0">
            <x v="72"/>
          </reference>
        </references>
      </pivotArea>
    </chartFormat>
    <chartFormat chart="3" format="35" series="1">
      <pivotArea type="data" outline="0" fieldPosition="0">
        <references count="1">
          <reference field="4294967294" count="1" selected="0">
            <x v="0"/>
          </reference>
        </references>
      </pivotArea>
    </chartFormat>
    <chartFormat chart="3" format="36">
      <pivotArea type="data" outline="0" fieldPosition="0">
        <references count="2">
          <reference field="4294967294" count="1" selected="0">
            <x v="0"/>
          </reference>
          <reference field="2" count="1" selected="0">
            <x v="109"/>
          </reference>
        </references>
      </pivotArea>
    </chartFormat>
    <chartFormat chart="3" format="37">
      <pivotArea type="data" outline="0" fieldPosition="0">
        <references count="2">
          <reference field="4294967294" count="1" selected="0">
            <x v="0"/>
          </reference>
          <reference field="2" count="1" selected="0">
            <x v="24"/>
          </reference>
        </references>
      </pivotArea>
    </chartFormat>
    <chartFormat chart="3" format="38">
      <pivotArea type="data" outline="0" fieldPosition="0">
        <references count="2">
          <reference field="4294967294" count="1" selected="0">
            <x v="0"/>
          </reference>
          <reference field="2" count="1" selected="0">
            <x v="203"/>
          </reference>
        </references>
      </pivotArea>
    </chartFormat>
    <chartFormat chart="3" format="39">
      <pivotArea type="data" outline="0" fieldPosition="0">
        <references count="2">
          <reference field="4294967294" count="1" selected="0">
            <x v="0"/>
          </reference>
          <reference field="2" count="1" selected="0">
            <x v="29"/>
          </reference>
        </references>
      </pivotArea>
    </chartFormat>
    <chartFormat chart="3" format="40">
      <pivotArea type="data" outline="0" fieldPosition="0">
        <references count="2">
          <reference field="4294967294" count="1" selected="0">
            <x v="0"/>
          </reference>
          <reference field="2" count="1" selected="0">
            <x v="72"/>
          </reference>
        </references>
      </pivotArea>
    </chartFormat>
    <chartFormat chart="4" format="41" series="1">
      <pivotArea type="data" outline="0" fieldPosition="0">
        <references count="1">
          <reference field="4294967294" count="1" selected="0">
            <x v="0"/>
          </reference>
        </references>
      </pivotArea>
    </chartFormat>
    <chartFormat chart="4" format="42">
      <pivotArea type="data" outline="0" fieldPosition="0">
        <references count="2">
          <reference field="4294967294" count="1" selected="0">
            <x v="0"/>
          </reference>
          <reference field="2" count="1" selected="0">
            <x v="109"/>
          </reference>
        </references>
      </pivotArea>
    </chartFormat>
    <chartFormat chart="4" format="43">
      <pivotArea type="data" outline="0" fieldPosition="0">
        <references count="2">
          <reference field="4294967294" count="1" selected="0">
            <x v="0"/>
          </reference>
          <reference field="2" count="1" selected="0">
            <x v="24"/>
          </reference>
        </references>
      </pivotArea>
    </chartFormat>
    <chartFormat chart="4" format="44">
      <pivotArea type="data" outline="0" fieldPosition="0">
        <references count="2">
          <reference field="4294967294" count="1" selected="0">
            <x v="0"/>
          </reference>
          <reference field="2" count="1" selected="0">
            <x v="203"/>
          </reference>
        </references>
      </pivotArea>
    </chartFormat>
    <chartFormat chart="4" format="45">
      <pivotArea type="data" outline="0" fieldPosition="0">
        <references count="2">
          <reference field="4294967294" count="1" selected="0">
            <x v="0"/>
          </reference>
          <reference field="2" count="1" selected="0">
            <x v="29"/>
          </reference>
        </references>
      </pivotArea>
    </chartFormat>
    <chartFormat chart="4" format="46">
      <pivotArea type="data" outline="0" fieldPosition="0">
        <references count="2">
          <reference field="4294967294" count="1" selected="0">
            <x v="0"/>
          </reference>
          <reference field="2" count="1" selected="0">
            <x v="72"/>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1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location ref="A3:B9" firstHeaderRow="1" firstDataRow="1" firstDataCol="1"/>
  <pivotFields count="19">
    <pivotField showAll="0"/>
    <pivotField showAll="0"/>
    <pivotField showAl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showAll="0"/>
    <pivotField axis="axisRow" showAll="0" sortType="descending">
      <items count="8">
        <item x="2"/>
        <item x="0"/>
        <item x="1"/>
        <item x="4"/>
        <item x="3"/>
        <item x="5"/>
        <item h="1"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5"/>
    </i>
    <i>
      <x v="3"/>
    </i>
    <i>
      <x v="4"/>
    </i>
    <i>
      <x v="2"/>
    </i>
  </rowItems>
  <colItems count="1">
    <i/>
  </colItems>
  <dataFields count="1">
    <dataField name="Average of Avg Annual Growth Rate" fld="6" subtotal="average" baseField="4" baseItem="0" numFmtId="2"/>
  </dataFields>
  <chartFormats count="14">
    <chartFormat chart="3" format="41" series="1">
      <pivotArea type="data" outline="0" fieldPosition="0">
        <references count="1">
          <reference field="4294967294" count="1" selected="0">
            <x v="0"/>
          </reference>
        </references>
      </pivotArea>
    </chartFormat>
    <chartFormat chart="3" format="42">
      <pivotArea type="data" outline="0" fieldPosition="0">
        <references count="2">
          <reference field="4294967294" count="1" selected="0">
            <x v="0"/>
          </reference>
          <reference field="4" count="1" selected="0">
            <x v="0"/>
          </reference>
        </references>
      </pivotArea>
    </chartFormat>
    <chartFormat chart="3" format="43">
      <pivotArea type="data" outline="0" fieldPosition="0">
        <references count="2">
          <reference field="4294967294" count="1" selected="0">
            <x v="0"/>
          </reference>
          <reference field="4" count="1" selected="0">
            <x v="1"/>
          </reference>
        </references>
      </pivotArea>
    </chartFormat>
    <chartFormat chart="3" format="44">
      <pivotArea type="data" outline="0" fieldPosition="0">
        <references count="2">
          <reference field="4294967294" count="1" selected="0">
            <x v="0"/>
          </reference>
          <reference field="4" count="1" selected="0">
            <x v="5"/>
          </reference>
        </references>
      </pivotArea>
    </chartFormat>
    <chartFormat chart="3" format="45">
      <pivotArea type="data" outline="0" fieldPosition="0">
        <references count="2">
          <reference field="4294967294" count="1" selected="0">
            <x v="0"/>
          </reference>
          <reference field="4" count="1" selected="0">
            <x v="3"/>
          </reference>
        </references>
      </pivotArea>
    </chartFormat>
    <chartFormat chart="3" format="46">
      <pivotArea type="data" outline="0" fieldPosition="0">
        <references count="2">
          <reference field="4294967294" count="1" selected="0">
            <x v="0"/>
          </reference>
          <reference field="4" count="1" selected="0">
            <x v="4"/>
          </reference>
        </references>
      </pivotArea>
    </chartFormat>
    <chartFormat chart="3" format="47">
      <pivotArea type="data" outline="0" fieldPosition="0">
        <references count="2">
          <reference field="4294967294" count="1" selected="0">
            <x v="0"/>
          </reference>
          <reference field="4" count="1" selected="0">
            <x v="2"/>
          </reference>
        </references>
      </pivotArea>
    </chartFormat>
    <chartFormat chart="5" format="55" series="1">
      <pivotArea type="data" outline="0" fieldPosition="0">
        <references count="1">
          <reference field="4294967294" count="1" selected="0">
            <x v="0"/>
          </reference>
        </references>
      </pivotArea>
    </chartFormat>
    <chartFormat chart="5" format="56">
      <pivotArea type="data" outline="0" fieldPosition="0">
        <references count="2">
          <reference field="4294967294" count="1" selected="0">
            <x v="0"/>
          </reference>
          <reference field="4" count="1" selected="0">
            <x v="0"/>
          </reference>
        </references>
      </pivotArea>
    </chartFormat>
    <chartFormat chart="5" format="57">
      <pivotArea type="data" outline="0" fieldPosition="0">
        <references count="2">
          <reference field="4294967294" count="1" selected="0">
            <x v="0"/>
          </reference>
          <reference field="4" count="1" selected="0">
            <x v="1"/>
          </reference>
        </references>
      </pivotArea>
    </chartFormat>
    <chartFormat chart="5" format="58">
      <pivotArea type="data" outline="0" fieldPosition="0">
        <references count="2">
          <reference field="4294967294" count="1" selected="0">
            <x v="0"/>
          </reference>
          <reference field="4" count="1" selected="0">
            <x v="5"/>
          </reference>
        </references>
      </pivotArea>
    </chartFormat>
    <chartFormat chart="5" format="59">
      <pivotArea type="data" outline="0" fieldPosition="0">
        <references count="2">
          <reference field="4294967294" count="1" selected="0">
            <x v="0"/>
          </reference>
          <reference field="4" count="1" selected="0">
            <x v="3"/>
          </reference>
        </references>
      </pivotArea>
    </chartFormat>
    <chartFormat chart="5" format="60">
      <pivotArea type="data" outline="0" fieldPosition="0">
        <references count="2">
          <reference field="4294967294" count="1" selected="0">
            <x v="0"/>
          </reference>
          <reference field="4" count="1" selected="0">
            <x v="4"/>
          </reference>
        </references>
      </pivotArea>
    </chartFormat>
    <chartFormat chart="5" format="6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1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7">
  <location ref="A3:B9" firstHeaderRow="1" firstDataRow="1" firstDataCol="1"/>
  <pivotFields count="19">
    <pivotField showAll="0"/>
    <pivotField showAll="0"/>
    <pivotField axis="axisRow" showAll="0" measureFilter="1" sortType="descending">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autoSortScope>
        <pivotArea dataOnly="0" outline="0" fieldPosition="0">
          <references count="1">
            <reference field="4294967294" count="1" selected="0">
              <x v="0"/>
            </reference>
          </references>
        </pivotArea>
      </autoSortScope>
    </pivotField>
    <pivotField showAll="0"/>
    <pivotField showAll="0">
      <items count="8">
        <item x="2"/>
        <item x="0"/>
        <item x="1"/>
        <item x="4"/>
        <item x="3"/>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6">
    <i>
      <x v="89"/>
    </i>
    <i>
      <x v="41"/>
    </i>
    <i>
      <x v="206"/>
    </i>
    <i>
      <x v="90"/>
    </i>
    <i>
      <x v="149"/>
    </i>
    <i>
      <x v="144"/>
    </i>
  </rowItems>
  <colItems count="1">
    <i/>
  </colItems>
  <dataFields count="1">
    <dataField name="Sum of 2024 [YR2024]" fld="18" showDataAs="percentOfTotal" baseField="2" baseItem="89" numFmtId="10"/>
  </dataFields>
  <chartFormats count="7">
    <chartFormat chart="4" format="55" series="1">
      <pivotArea type="data" outline="0" fieldPosition="0">
        <references count="1">
          <reference field="4294967294" count="1" selected="0">
            <x v="0"/>
          </reference>
        </references>
      </pivotArea>
    </chartFormat>
    <chartFormat chart="4" format="56">
      <pivotArea type="data" outline="0" fieldPosition="0">
        <references count="2">
          <reference field="4294967294" count="1" selected="0">
            <x v="0"/>
          </reference>
          <reference field="2" count="1" selected="0">
            <x v="89"/>
          </reference>
        </references>
      </pivotArea>
    </chartFormat>
    <chartFormat chart="4" format="57">
      <pivotArea type="data" outline="0" fieldPosition="0">
        <references count="2">
          <reference field="4294967294" count="1" selected="0">
            <x v="0"/>
          </reference>
          <reference field="2" count="1" selected="0">
            <x v="41"/>
          </reference>
        </references>
      </pivotArea>
    </chartFormat>
    <chartFormat chart="4" format="58">
      <pivotArea type="data" outline="0" fieldPosition="0">
        <references count="2">
          <reference field="4294967294" count="1" selected="0">
            <x v="0"/>
          </reference>
          <reference field="2" count="1" selected="0">
            <x v="206"/>
          </reference>
        </references>
      </pivotArea>
    </chartFormat>
    <chartFormat chart="4" format="59">
      <pivotArea type="data" outline="0" fieldPosition="0">
        <references count="2">
          <reference field="4294967294" count="1" selected="0">
            <x v="0"/>
          </reference>
          <reference field="2" count="1" selected="0">
            <x v="90"/>
          </reference>
        </references>
      </pivotArea>
    </chartFormat>
    <chartFormat chart="4" format="60">
      <pivotArea type="data" outline="0" fieldPosition="0">
        <references count="2">
          <reference field="4294967294" count="1" selected="0">
            <x v="0"/>
          </reference>
          <reference field="2" count="1" selected="0">
            <x v="149"/>
          </reference>
        </references>
      </pivotArea>
    </chartFormat>
    <chartFormat chart="4" format="61">
      <pivotArea type="data" outline="0" fieldPosition="0">
        <references count="2">
          <reference field="4294967294" count="1" selected="0">
            <x v="0"/>
          </reference>
          <reference field="2" count="1" selected="0">
            <x v="144"/>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A3:B4" firstHeaderRow="1" firstDataRow="1" firstDataCol="1"/>
  <pivotFields count="19">
    <pivotField showAll="0"/>
    <pivotField showAll="0"/>
    <pivotField axis="axisRow" showAll="0" measureFilter="1" sortType="descending">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autoSortScope>
        <pivotArea dataOnly="0" outline="0" fieldPosition="0">
          <references count="1">
            <reference field="4294967294" count="1" selected="0">
              <x v="0"/>
            </reference>
          </references>
        </pivotArea>
      </autoSortScope>
    </pivotField>
    <pivotField showAll="0"/>
    <pivotField showAll="0">
      <items count="8">
        <item x="2"/>
        <item x="0"/>
        <item x="1"/>
        <item x="4"/>
        <item x="3"/>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1">
    <i>
      <x v="89"/>
    </i>
  </rowItems>
  <colItems count="1">
    <i/>
  </colItems>
  <dataFields count="1">
    <dataField name="Max of 2024 [YR2024]" fld="18" subtotal="max" baseField="2" baseItem="0"/>
  </dataFields>
  <pivotTableStyleInfo name="PivotStyleLight16" showRowHeaders="1" showColHeaders="1" showRowStripes="0" showColStripes="0" showLastColumn="1"/>
  <filters count="1">
    <filter fld="2"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1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A3:B5" firstHeaderRow="1" firstDataRow="1" firstDataCol="1"/>
  <pivotFields count="19">
    <pivotField showAll="0"/>
    <pivotField showAll="0"/>
    <pivotField axis="axisRow" showAll="0" measureFilter="1" sortType="descending">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autoSortScope>
        <pivotArea dataOnly="0" outline="0" fieldPosition="0">
          <references count="1">
            <reference field="4294967294" count="1" selected="0">
              <x v="0"/>
            </reference>
          </references>
        </pivotArea>
      </autoSortScope>
    </pivotField>
    <pivotField showAll="0"/>
    <pivotField showAll="0">
      <items count="8">
        <item x="2"/>
        <item x="0"/>
        <item x="1"/>
        <item x="4"/>
        <item x="3"/>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2">
    <i>
      <x v="137"/>
    </i>
    <i>
      <x v="201"/>
    </i>
  </rowItems>
  <colItems count="1">
    <i/>
  </colItems>
  <dataFields count="1">
    <dataField name="Max of 2024 [YR2024]" fld="18" subtotal="max" baseField="2" baseItem="0"/>
  </dataFields>
  <chartFormats count="1">
    <chartFormat chart="4" format="5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top="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 cacheId="1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A3:A4" firstHeaderRow="1" firstDataRow="1" firstDataCol="0"/>
  <pivotFields count="19">
    <pivotField showAll="0"/>
    <pivotField showAll="0"/>
    <pivotField showAll="0" sortType="descending">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autoSortScope>
        <pivotArea dataOnly="0" outline="0" fieldPosition="0">
          <references count="1">
            <reference field="4294967294" count="1" selected="0">
              <x v="0"/>
            </reference>
          </references>
        </pivotArea>
      </autoSortScope>
    </pivotField>
    <pivotField showAll="0"/>
    <pivotField showAll="0">
      <items count="8">
        <item x="2"/>
        <item x="0"/>
        <item x="1"/>
        <item x="4"/>
        <item x="3"/>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2024 [YR2024]" fld="18" subtotal="average" baseField="2" baseItem="89"/>
  </dataFields>
  <chartFormats count="1">
    <chartFormat chart="4" format="5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1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A3:B4" firstHeaderRow="1" firstDataRow="1" firstDataCol="1"/>
  <pivotFields count="19">
    <pivotField showAll="0"/>
    <pivotField showAll="0"/>
    <pivotField showAll="0" sortType="descending">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autoSortScope>
        <pivotArea dataOnly="0" outline="0" fieldPosition="0">
          <references count="1">
            <reference field="4294967294" count="1" selected="0">
              <x v="0"/>
            </reference>
          </references>
        </pivotArea>
      </autoSortScope>
    </pivotField>
    <pivotField showAll="0"/>
    <pivotField axis="axisRow" showAll="0" measureFilter="1">
      <items count="8">
        <item x="2"/>
        <item x="0"/>
        <item x="1"/>
        <item x="4"/>
        <item x="3"/>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1">
    <i>
      <x v="1"/>
    </i>
  </rowItems>
  <colItems count="1">
    <i/>
  </colItems>
  <dataFields count="1">
    <dataField name="Sum of 2024 [YR2024]" fld="18" baseField="4" baseItem="0"/>
  </dataFields>
  <chartFormats count="1">
    <chartFormat chart="4" format="5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7"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 cacheId="1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7">
  <location ref="A3:B9" firstHeaderRow="1" firstDataRow="1" firstDataCol="1"/>
  <pivotFields count="19">
    <pivotField showAll="0"/>
    <pivotField showAll="0"/>
    <pivotField showAl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showAll="0"/>
    <pivotField axis="axisRow" showAll="0" sortType="descending">
      <items count="8">
        <item x="2"/>
        <item x="0"/>
        <item x="1"/>
        <item x="4"/>
        <item x="3"/>
        <item x="5"/>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6">
    <i>
      <x v="1"/>
    </i>
    <i>
      <x/>
    </i>
    <i>
      <x v="2"/>
    </i>
    <i>
      <x v="3"/>
    </i>
    <i>
      <x v="5"/>
    </i>
    <i>
      <x v="4"/>
    </i>
  </rowItems>
  <colItems count="1">
    <i/>
  </colItems>
  <dataFields count="1">
    <dataField name="Sum of 2024 [YR2024]" fld="18" showDataAs="percentOfTotal" baseField="4" baseItem="0" numFmtId="9"/>
  </dataFields>
  <chartFormats count="14">
    <chartFormat chart="4" format="55" series="1">
      <pivotArea type="data" outline="0" fieldPosition="0">
        <references count="1">
          <reference field="4294967294" count="1" selected="0">
            <x v="0"/>
          </reference>
        </references>
      </pivotArea>
    </chartFormat>
    <chartFormat chart="4" format="56">
      <pivotArea type="data" outline="0" fieldPosition="0">
        <references count="2">
          <reference field="4294967294" count="1" selected="0">
            <x v="0"/>
          </reference>
          <reference field="4" count="1" selected="0">
            <x v="1"/>
          </reference>
        </references>
      </pivotArea>
    </chartFormat>
    <chartFormat chart="4" format="57">
      <pivotArea type="data" outline="0" fieldPosition="0">
        <references count="2">
          <reference field="4294967294" count="1" selected="0">
            <x v="0"/>
          </reference>
          <reference field="4" count="1" selected="0">
            <x v="0"/>
          </reference>
        </references>
      </pivotArea>
    </chartFormat>
    <chartFormat chart="4" format="58">
      <pivotArea type="data" outline="0" fieldPosition="0">
        <references count="2">
          <reference field="4294967294" count="1" selected="0">
            <x v="0"/>
          </reference>
          <reference field="4" count="1" selected="0">
            <x v="2"/>
          </reference>
        </references>
      </pivotArea>
    </chartFormat>
    <chartFormat chart="4" format="59">
      <pivotArea type="data" outline="0" fieldPosition="0">
        <references count="2">
          <reference field="4294967294" count="1" selected="0">
            <x v="0"/>
          </reference>
          <reference field="4" count="1" selected="0">
            <x v="3"/>
          </reference>
        </references>
      </pivotArea>
    </chartFormat>
    <chartFormat chart="4" format="60">
      <pivotArea type="data" outline="0" fieldPosition="0">
        <references count="2">
          <reference field="4294967294" count="1" selected="0">
            <x v="0"/>
          </reference>
          <reference field="4" count="1" selected="0">
            <x v="5"/>
          </reference>
        </references>
      </pivotArea>
    </chartFormat>
    <chartFormat chart="4" format="61">
      <pivotArea type="data" outline="0" fieldPosition="0">
        <references count="2">
          <reference field="4294967294" count="1" selected="0">
            <x v="0"/>
          </reference>
          <reference field="4" count="1" selected="0">
            <x v="4"/>
          </reference>
        </references>
      </pivotArea>
    </chartFormat>
    <chartFormat chart="6" format="69" series="1">
      <pivotArea type="data" outline="0" fieldPosition="0">
        <references count="1">
          <reference field="4294967294" count="1" selected="0">
            <x v="0"/>
          </reference>
        </references>
      </pivotArea>
    </chartFormat>
    <chartFormat chart="6" format="70">
      <pivotArea type="data" outline="0" fieldPosition="0">
        <references count="2">
          <reference field="4294967294" count="1" selected="0">
            <x v="0"/>
          </reference>
          <reference field="4" count="1" selected="0">
            <x v="1"/>
          </reference>
        </references>
      </pivotArea>
    </chartFormat>
    <chartFormat chart="6" format="71">
      <pivotArea type="data" outline="0" fieldPosition="0">
        <references count="2">
          <reference field="4294967294" count="1" selected="0">
            <x v="0"/>
          </reference>
          <reference field="4" count="1" selected="0">
            <x v="0"/>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 chart="6" format="73">
      <pivotArea type="data" outline="0" fieldPosition="0">
        <references count="2">
          <reference field="4294967294" count="1" selected="0">
            <x v="0"/>
          </reference>
          <reference field="4" count="1" selected="0">
            <x v="3"/>
          </reference>
        </references>
      </pivotArea>
    </chartFormat>
    <chartFormat chart="6" format="74">
      <pivotArea type="data" outline="0" fieldPosition="0">
        <references count="2">
          <reference field="4294967294" count="1" selected="0">
            <x v="0"/>
          </reference>
          <reference field="4" count="1" selected="0">
            <x v="5"/>
          </reference>
        </references>
      </pivotArea>
    </chartFormat>
    <chartFormat chart="6" format="7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13" name="PivotTable1"/>
    <pivotTable tabId="19" name="PivotTable1"/>
    <pivotTable tabId="17" name="PivotTable1"/>
    <pivotTable tabId="18" name="PivotTable1"/>
    <pivotTable tabId="12" name="PivotTable1"/>
    <pivotTable tabId="15" name="PivotTable1"/>
    <pivotTable tabId="16" name="PivotTable1"/>
    <pivotTable tabId="11" name="PivotTable1"/>
    <pivotTable tabId="10" name="PivotTable1"/>
    <pivotTable tabId="14" name="PivotTable1"/>
  </pivotTables>
  <data>
    <tabular pivotCacheId="412546782">
      <items count="7">
        <i x="2" s="1"/>
        <i x="0" s="1"/>
        <i x="1" s="1"/>
        <i x="4" s="1"/>
        <i x="3" s="1"/>
        <i x="5" s="1"/>
        <i x="6"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columnCount="2" showCaption="0" style="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267" totalsRowShown="0" headerRowDxfId="5">
  <autoFilter ref="A1:S267" xr:uid="{00000000-0009-0000-0100-000001000000}"/>
  <tableColumns count="19">
    <tableColumn id="1" xr3:uid="{00000000-0010-0000-0000-000001000000}" name="Series Name"/>
    <tableColumn id="2" xr3:uid="{00000000-0010-0000-0000-000002000000}" name="Series Code"/>
    <tableColumn id="3" xr3:uid="{00000000-0010-0000-0000-000003000000}" name="Country Name"/>
    <tableColumn id="4" xr3:uid="{00000000-0010-0000-0000-000004000000}" name="Country Code"/>
    <tableColumn id="17" xr3:uid="{00000000-0010-0000-0000-000011000000}" name="Region" dataDxfId="4">
      <calculatedColumnFormula>VLOOKUP(C2, Continent!A:B, 2, FALSE)</calculatedColumnFormula>
    </tableColumn>
    <tableColumn id="18" xr3:uid="{00000000-0010-0000-0000-000012000000}" name="Growth Rate %" dataDxfId="3">
      <calculatedColumnFormula>((Table1[[#This Row],[2024 '[YR2024']]]-Table1[[#This Row],[1990 '[YR1990']]])/Table1[[#This Row],[1990 '[YR1990']]])*100</calculatedColumnFormula>
    </tableColumn>
    <tableColumn id="19" xr3:uid="{00000000-0010-0000-0000-000013000000}" name="Avg Annual Growth Rate" dataDxfId="2">
      <calculatedColumnFormula>((Table1[[#This Row],[2024 '[YR2024']]] / Table1[[#This Row],[1990 '[YR1990']]]) ^ (1 / (2024 - 1990)) - 1) * 100</calculatedColumnFormula>
    </tableColumn>
    <tableColumn id="5" xr3:uid="{00000000-0010-0000-0000-000005000000}" name="1990 [YR1990]"/>
    <tableColumn id="6" xr3:uid="{00000000-0010-0000-0000-000006000000}" name="2000 [YR2000]"/>
    <tableColumn id="7" xr3:uid="{00000000-0010-0000-0000-000007000000}" name="2015 [YR2015]"/>
    <tableColumn id="8" xr3:uid="{00000000-0010-0000-0000-000008000000}" name="2016 [YR2016]"/>
    <tableColumn id="9" xr3:uid="{00000000-0010-0000-0000-000009000000}" name="2017 [YR2017]"/>
    <tableColumn id="10" xr3:uid="{00000000-0010-0000-0000-00000A000000}" name="2018 [YR2018]"/>
    <tableColumn id="11" xr3:uid="{00000000-0010-0000-0000-00000B000000}" name="2019 [YR2019]"/>
    <tableColumn id="12" xr3:uid="{00000000-0010-0000-0000-00000C000000}" name="2020 [YR2020]"/>
    <tableColumn id="13" xr3:uid="{00000000-0010-0000-0000-00000D000000}" name="2021 [YR2021]"/>
    <tableColumn id="14" xr3:uid="{00000000-0010-0000-0000-00000E000000}" name="2022 [YR2022]"/>
    <tableColumn id="15" xr3:uid="{00000000-0010-0000-0000-00000F000000}" name="2023 [YR2023]"/>
    <tableColumn id="16" xr3:uid="{00000000-0010-0000-0000-000010000000}" name="2024 [YR202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9"/>
  <sheetViews>
    <sheetView workbookViewId="0">
      <selection activeCell="U4" sqref="U4"/>
    </sheetView>
  </sheetViews>
  <sheetFormatPr defaultRowHeight="14.5" x14ac:dyDescent="0.35"/>
  <cols>
    <col min="1" max="1" width="13" bestFit="1" customWidth="1"/>
    <col min="2" max="2" width="19.08984375" bestFit="1" customWidth="1"/>
  </cols>
  <sheetData>
    <row r="3" spans="1:2" x14ac:dyDescent="0.35">
      <c r="A3" s="24" t="s">
        <v>563</v>
      </c>
      <c r="B3" t="s">
        <v>564</v>
      </c>
    </row>
    <row r="4" spans="1:2" x14ac:dyDescent="0.35">
      <c r="A4" s="25" t="s">
        <v>547</v>
      </c>
      <c r="B4" s="26">
        <v>4772010067</v>
      </c>
    </row>
    <row r="5" spans="1:2" x14ac:dyDescent="0.35">
      <c r="A5" s="25" t="s">
        <v>549</v>
      </c>
      <c r="B5" s="26">
        <v>1513319287</v>
      </c>
    </row>
    <row r="6" spans="1:2" x14ac:dyDescent="0.35">
      <c r="A6" s="25" t="s">
        <v>548</v>
      </c>
      <c r="B6" s="26">
        <v>742931640</v>
      </c>
    </row>
    <row r="7" spans="1:2" x14ac:dyDescent="0.35">
      <c r="A7" s="25" t="s">
        <v>513</v>
      </c>
      <c r="B7" s="26">
        <v>608407700</v>
      </c>
    </row>
    <row r="8" spans="1:2" x14ac:dyDescent="0.35">
      <c r="A8" s="25" t="s">
        <v>550</v>
      </c>
      <c r="B8" s="26">
        <v>435299309</v>
      </c>
    </row>
    <row r="9" spans="1:2" x14ac:dyDescent="0.35">
      <c r="A9" s="25" t="s">
        <v>551</v>
      </c>
      <c r="B9" s="26">
        <v>46675544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8"/>
  <sheetViews>
    <sheetView workbookViewId="0">
      <selection activeCell="A4" sqref="A4"/>
    </sheetView>
  </sheetViews>
  <sheetFormatPr defaultRowHeight="14.5" x14ac:dyDescent="0.35"/>
  <cols>
    <col min="1" max="1" width="21.26953125" bestFit="1" customWidth="1"/>
    <col min="2" max="2" width="19.81640625" bestFit="1" customWidth="1"/>
  </cols>
  <sheetData>
    <row r="3" spans="1:2" x14ac:dyDescent="0.35">
      <c r="A3" s="24" t="s">
        <v>563</v>
      </c>
      <c r="B3" t="s">
        <v>565</v>
      </c>
    </row>
    <row r="4" spans="1:2" x14ac:dyDescent="0.35">
      <c r="A4" s="25" t="s">
        <v>331</v>
      </c>
      <c r="B4" s="14">
        <v>549.24677685011648</v>
      </c>
    </row>
    <row r="5" spans="1:2" x14ac:dyDescent="0.35">
      <c r="A5" s="25" t="s">
        <v>420</v>
      </c>
      <c r="B5" s="14">
        <v>473.00950364025243</v>
      </c>
    </row>
    <row r="6" spans="1:2" x14ac:dyDescent="0.35">
      <c r="A6" s="25" t="s">
        <v>135</v>
      </c>
      <c r="B6" s="14">
        <v>299.0343134981045</v>
      </c>
    </row>
    <row r="7" spans="1:2" x14ac:dyDescent="0.35">
      <c r="A7" s="25" t="s">
        <v>412</v>
      </c>
      <c r="B7" s="14">
        <v>298.14339493497607</v>
      </c>
    </row>
    <row r="8" spans="1:2" x14ac:dyDescent="0.35">
      <c r="A8" s="25" t="s">
        <v>18</v>
      </c>
      <c r="B8" s="14">
        <v>254.04861169915139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topLeftCell="B1" workbookViewId="0">
      <selection activeCell="A4" sqref="A4"/>
    </sheetView>
  </sheetViews>
  <sheetFormatPr defaultRowHeight="14.5" x14ac:dyDescent="0.35"/>
  <cols>
    <col min="1" max="1" width="20.90625" bestFit="1" customWidth="1"/>
    <col min="2" max="2" width="23" bestFit="1" customWidth="1"/>
  </cols>
  <sheetData>
    <row r="3" spans="1:2" x14ac:dyDescent="0.35">
      <c r="A3" s="24" t="s">
        <v>563</v>
      </c>
      <c r="B3" t="s">
        <v>566</v>
      </c>
    </row>
    <row r="4" spans="1:2" x14ac:dyDescent="0.35">
      <c r="A4" s="25" t="s">
        <v>231</v>
      </c>
      <c r="B4" s="14">
        <v>-30.066263610287216</v>
      </c>
    </row>
    <row r="5" spans="1:2" x14ac:dyDescent="0.35">
      <c r="A5" s="25" t="s">
        <v>65</v>
      </c>
      <c r="B5" s="14">
        <v>-28.871644713949301</v>
      </c>
    </row>
    <row r="6" spans="1:2" x14ac:dyDescent="0.35">
      <c r="A6" s="25" t="s">
        <v>418</v>
      </c>
      <c r="B6" s="14">
        <v>-27.26754123383806</v>
      </c>
    </row>
    <row r="7" spans="1:2" x14ac:dyDescent="0.35">
      <c r="A7" s="25" t="s">
        <v>75</v>
      </c>
      <c r="B7" s="14">
        <v>-26.082216361490197</v>
      </c>
    </row>
    <row r="8" spans="1:2" x14ac:dyDescent="0.35">
      <c r="A8" s="25" t="s">
        <v>158</v>
      </c>
      <c r="B8" s="14">
        <v>-23.493336109954186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9"/>
  <sheetViews>
    <sheetView workbookViewId="0">
      <selection activeCell="B4" sqref="B4"/>
    </sheetView>
  </sheetViews>
  <sheetFormatPr defaultRowHeight="14.5" x14ac:dyDescent="0.35"/>
  <cols>
    <col min="1" max="1" width="13" bestFit="1" customWidth="1"/>
    <col min="2" max="2" width="31.08984375" bestFit="1" customWidth="1"/>
  </cols>
  <sheetData>
    <row r="3" spans="1:2" x14ac:dyDescent="0.35">
      <c r="A3" s="24" t="s">
        <v>563</v>
      </c>
      <c r="B3" t="s">
        <v>567</v>
      </c>
    </row>
    <row r="4" spans="1:2" x14ac:dyDescent="0.35">
      <c r="A4" s="25" t="s">
        <v>549</v>
      </c>
      <c r="B4" s="14">
        <v>2.3957924392809242</v>
      </c>
    </row>
    <row r="5" spans="1:2" x14ac:dyDescent="0.35">
      <c r="A5" s="25" t="s">
        <v>547</v>
      </c>
      <c r="B5" s="14">
        <v>1.8647661616085429</v>
      </c>
    </row>
    <row r="6" spans="1:2" x14ac:dyDescent="0.35">
      <c r="A6" s="25" t="s">
        <v>550</v>
      </c>
      <c r="B6" s="14">
        <v>1.1407846558064578</v>
      </c>
    </row>
    <row r="7" spans="1:2" x14ac:dyDescent="0.35">
      <c r="A7" s="25" t="s">
        <v>513</v>
      </c>
      <c r="B7" s="14">
        <v>1.0663067305409659</v>
      </c>
    </row>
    <row r="8" spans="1:2" x14ac:dyDescent="0.35">
      <c r="A8" s="25" t="s">
        <v>551</v>
      </c>
      <c r="B8" s="14">
        <v>0.96051296511979456</v>
      </c>
    </row>
    <row r="9" spans="1:2" x14ac:dyDescent="0.35">
      <c r="A9" s="25" t="s">
        <v>548</v>
      </c>
      <c r="B9" s="14">
        <v>0.20827593219386342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A4" sqref="A4"/>
    </sheetView>
  </sheetViews>
  <sheetFormatPr defaultRowHeight="14.5" x14ac:dyDescent="0.35"/>
  <cols>
    <col min="1" max="1" width="12.36328125" bestFit="1" customWidth="1"/>
    <col min="2" max="2" width="19.08984375" bestFit="1" customWidth="1"/>
  </cols>
  <sheetData>
    <row r="3" spans="1:2" x14ac:dyDescent="0.35">
      <c r="A3" s="24" t="s">
        <v>563</v>
      </c>
      <c r="B3" t="s">
        <v>564</v>
      </c>
    </row>
    <row r="4" spans="1:2" x14ac:dyDescent="0.35">
      <c r="A4" s="25" t="s">
        <v>192</v>
      </c>
      <c r="B4" s="15">
        <v>0.36570914229473428</v>
      </c>
    </row>
    <row r="5" spans="1:2" x14ac:dyDescent="0.35">
      <c r="A5" s="25" t="s">
        <v>99</v>
      </c>
      <c r="B5" s="15">
        <v>0.35513290247640134</v>
      </c>
    </row>
    <row r="6" spans="1:2" x14ac:dyDescent="0.35">
      <c r="A6" s="25" t="s">
        <v>424</v>
      </c>
      <c r="B6" s="15">
        <v>8.572515646662042E-2</v>
      </c>
    </row>
    <row r="7" spans="1:2" x14ac:dyDescent="0.35">
      <c r="A7" s="25" t="s">
        <v>194</v>
      </c>
      <c r="B7" s="15">
        <v>7.1453284659457966E-2</v>
      </c>
    </row>
    <row r="8" spans="1:2" x14ac:dyDescent="0.35">
      <c r="A8" s="25" t="s">
        <v>311</v>
      </c>
      <c r="B8" s="15">
        <v>6.3332527201787753E-2</v>
      </c>
    </row>
    <row r="9" spans="1:2" x14ac:dyDescent="0.35">
      <c r="A9" s="25" t="s">
        <v>301</v>
      </c>
      <c r="B9" s="15">
        <v>5.8646986900998226E-2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4"/>
  <sheetViews>
    <sheetView workbookViewId="0">
      <selection activeCell="E5" sqref="E5"/>
    </sheetView>
  </sheetViews>
  <sheetFormatPr defaultRowHeight="14.5" x14ac:dyDescent="0.35"/>
  <cols>
    <col min="1" max="1" width="12.36328125" bestFit="1" customWidth="1"/>
    <col min="2" max="2" width="19.08984375" bestFit="1" customWidth="1"/>
    <col min="5" max="5" width="10.81640625" bestFit="1" customWidth="1"/>
  </cols>
  <sheetData>
    <row r="3" spans="1:5" x14ac:dyDescent="0.35">
      <c r="A3" s="24" t="s">
        <v>563</v>
      </c>
      <c r="B3" t="s">
        <v>568</v>
      </c>
    </row>
    <row r="4" spans="1:5" x14ac:dyDescent="0.35">
      <c r="A4" s="25" t="s">
        <v>192</v>
      </c>
      <c r="B4" s="26">
        <v>1450935791</v>
      </c>
      <c r="D4" t="str">
        <f>A4</f>
        <v>India</v>
      </c>
      <c r="E4">
        <f>GETPIVOTDATA("2024 [YR2024]",$A$3,"Country Name","India")</f>
        <v>1450935791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E5"/>
  <sheetViews>
    <sheetView workbookViewId="0">
      <selection activeCell="D4" sqref="D4"/>
    </sheetView>
  </sheetViews>
  <sheetFormatPr defaultRowHeight="14.5" x14ac:dyDescent="0.35"/>
  <cols>
    <col min="1" max="1" width="12.36328125" bestFit="1" customWidth="1"/>
    <col min="2" max="2" width="19.08984375" bestFit="1" customWidth="1"/>
    <col min="5" max="5" width="10.81640625" bestFit="1" customWidth="1"/>
  </cols>
  <sheetData>
    <row r="3" spans="1:5" x14ac:dyDescent="0.35">
      <c r="A3" s="24" t="s">
        <v>563</v>
      </c>
      <c r="B3" t="s">
        <v>568</v>
      </c>
    </row>
    <row r="4" spans="1:5" x14ac:dyDescent="0.35">
      <c r="A4" s="25" t="s">
        <v>287</v>
      </c>
      <c r="B4" s="26">
        <v>11947</v>
      </c>
      <c r="D4" t="str">
        <f>A4</f>
        <v>Nauru</v>
      </c>
      <c r="E4">
        <f>GETPIVOTDATA("2024 [YR2024]",$A$3,"Country Name","Tuvalu")</f>
        <v>9646</v>
      </c>
    </row>
    <row r="5" spans="1:5" x14ac:dyDescent="0.35">
      <c r="A5" s="25" t="s">
        <v>414</v>
      </c>
      <c r="B5" s="26">
        <v>9646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D4"/>
  <sheetViews>
    <sheetView workbookViewId="0">
      <selection activeCell="E4" sqref="E4"/>
    </sheetView>
  </sheetViews>
  <sheetFormatPr defaultRowHeight="14.5" x14ac:dyDescent="0.35"/>
  <cols>
    <col min="1" max="2" width="22.26953125" bestFit="1" customWidth="1"/>
    <col min="4" max="4" width="11.81640625" customWidth="1"/>
    <col min="5" max="5" width="10.81640625" bestFit="1" customWidth="1"/>
  </cols>
  <sheetData>
    <row r="3" spans="1:4" x14ac:dyDescent="0.35">
      <c r="A3" t="s">
        <v>569</v>
      </c>
    </row>
    <row r="4" spans="1:4" x14ac:dyDescent="0.35">
      <c r="A4" s="26">
        <v>37413103.903225809</v>
      </c>
      <c r="D4">
        <f>A4</f>
        <v>37413103.903225809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D4"/>
  <sheetViews>
    <sheetView workbookViewId="0">
      <selection activeCell="A4" sqref="A4"/>
    </sheetView>
  </sheetViews>
  <sheetFormatPr defaultRowHeight="14.5" x14ac:dyDescent="0.35"/>
  <cols>
    <col min="1" max="1" width="12.36328125" bestFit="1" customWidth="1"/>
    <col min="2" max="2" width="19.08984375" bestFit="1" customWidth="1"/>
    <col min="4" max="4" width="11.81640625" customWidth="1"/>
    <col min="5" max="5" width="10.81640625" bestFit="1" customWidth="1"/>
  </cols>
  <sheetData>
    <row r="3" spans="1:4" x14ac:dyDescent="0.35">
      <c r="A3" s="24" t="s">
        <v>563</v>
      </c>
      <c r="B3" t="s">
        <v>564</v>
      </c>
    </row>
    <row r="4" spans="1:4" x14ac:dyDescent="0.35">
      <c r="A4" s="25" t="s">
        <v>547</v>
      </c>
      <c r="B4" s="26">
        <v>4772010067</v>
      </c>
      <c r="D4" t="str">
        <f>A4</f>
        <v>Asia</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9"/>
  <sheetViews>
    <sheetView workbookViewId="0">
      <selection activeCell="B4" sqref="B4"/>
    </sheetView>
  </sheetViews>
  <sheetFormatPr defaultRowHeight="14.5" x14ac:dyDescent="0.35"/>
  <cols>
    <col min="1" max="1" width="13" bestFit="1" customWidth="1"/>
    <col min="2" max="2" width="19.08984375" bestFit="1" customWidth="1"/>
  </cols>
  <sheetData>
    <row r="3" spans="1:2" x14ac:dyDescent="0.35">
      <c r="A3" s="24" t="s">
        <v>563</v>
      </c>
      <c r="B3" t="s">
        <v>564</v>
      </c>
    </row>
    <row r="4" spans="1:2" x14ac:dyDescent="0.35">
      <c r="A4" s="25" t="s">
        <v>547</v>
      </c>
      <c r="B4" s="27">
        <v>0.58778415869278466</v>
      </c>
    </row>
    <row r="5" spans="1:2" x14ac:dyDescent="0.35">
      <c r="A5" s="25" t="s">
        <v>549</v>
      </c>
      <c r="B5" s="27">
        <v>0.18640050868586311</v>
      </c>
    </row>
    <row r="6" spans="1:2" x14ac:dyDescent="0.35">
      <c r="A6" s="25" t="s">
        <v>548</v>
      </c>
      <c r="B6" s="27">
        <v>9.1509331047614231E-2</v>
      </c>
    </row>
    <row r="7" spans="1:2" x14ac:dyDescent="0.35">
      <c r="A7" s="25" t="s">
        <v>513</v>
      </c>
      <c r="B7" s="27">
        <v>7.4939575370915099E-2</v>
      </c>
    </row>
    <row r="8" spans="1:2" x14ac:dyDescent="0.35">
      <c r="A8" s="25" t="s">
        <v>550</v>
      </c>
      <c r="B8" s="27">
        <v>5.3617246092895865E-2</v>
      </c>
    </row>
    <row r="9" spans="1:2" x14ac:dyDescent="0.35">
      <c r="A9" s="25" t="s">
        <v>551</v>
      </c>
      <c r="B9" s="27">
        <v>5.7491801099270505E-3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272"/>
  <sheetViews>
    <sheetView workbookViewId="0">
      <selection activeCell="G2" sqref="G2"/>
    </sheetView>
  </sheetViews>
  <sheetFormatPr defaultRowHeight="14.5" x14ac:dyDescent="0.35"/>
  <cols>
    <col min="1" max="1" width="17.453125" customWidth="1"/>
    <col min="2" max="2" width="13.90625" customWidth="1"/>
    <col min="3" max="3" width="14.90625" customWidth="1"/>
    <col min="4" max="5" width="14.26953125" customWidth="1"/>
    <col min="6" max="7" width="14.26953125" style="14" customWidth="1"/>
    <col min="8" max="19" width="14.6328125" customWidth="1"/>
  </cols>
  <sheetData>
    <row r="1" spans="1:19" x14ac:dyDescent="0.35">
      <c r="A1" s="1" t="s">
        <v>0</v>
      </c>
      <c r="B1" s="1" t="s">
        <v>1</v>
      </c>
      <c r="C1" s="1" t="s">
        <v>2</v>
      </c>
      <c r="D1" s="1" t="s">
        <v>3</v>
      </c>
      <c r="E1" s="1" t="s">
        <v>560</v>
      </c>
      <c r="F1" s="13" t="s">
        <v>561</v>
      </c>
      <c r="G1" s="13" t="s">
        <v>562</v>
      </c>
      <c r="H1" s="1" t="s">
        <v>4</v>
      </c>
      <c r="I1" s="1" t="s">
        <v>5</v>
      </c>
      <c r="J1" s="1" t="s">
        <v>6</v>
      </c>
      <c r="K1" s="1" t="s">
        <v>7</v>
      </c>
      <c r="L1" s="1" t="s">
        <v>8</v>
      </c>
      <c r="M1" s="1" t="s">
        <v>9</v>
      </c>
      <c r="N1" s="1" t="s">
        <v>10</v>
      </c>
      <c r="O1" s="1" t="s">
        <v>11</v>
      </c>
      <c r="P1" s="1" t="s">
        <v>12</v>
      </c>
      <c r="Q1" s="1" t="s">
        <v>13</v>
      </c>
      <c r="R1" s="1" t="s">
        <v>14</v>
      </c>
      <c r="S1" s="1" t="s">
        <v>15</v>
      </c>
    </row>
    <row r="2" spans="1:19" x14ac:dyDescent="0.35">
      <c r="A2" t="s">
        <v>16</v>
      </c>
      <c r="B2" t="s">
        <v>17</v>
      </c>
      <c r="C2" t="s">
        <v>18</v>
      </c>
      <c r="D2" t="s">
        <v>19</v>
      </c>
      <c r="E2" t="str">
        <f>VLOOKUP(C2, Continent!A:B, 2, FALSE)</f>
        <v>Asia</v>
      </c>
      <c r="F2" s="14">
        <f>((Table1[[#This Row],[2024 '[YR2024']]]-Table1[[#This Row],[1990 '[YR1990']]])/Table1[[#This Row],[1990 '[YR1990']]])*100</f>
        <v>254.04861169915139</v>
      </c>
      <c r="G2" s="14">
        <f>((Table1[[#This Row],[2024 '[YR2024']]] / Table1[[#This Row],[1990 '[YR1990']]]) ^ (1 / (2024 - 1990)) - 1) * 100</f>
        <v>3.7884219316682621</v>
      </c>
      <c r="H2">
        <v>12045660</v>
      </c>
      <c r="I2">
        <v>20130327</v>
      </c>
      <c r="J2">
        <v>33831764</v>
      </c>
      <c r="K2">
        <v>34700612</v>
      </c>
      <c r="L2">
        <v>35688935</v>
      </c>
      <c r="M2">
        <v>36743039</v>
      </c>
      <c r="N2">
        <v>37856121</v>
      </c>
      <c r="O2">
        <v>39068979</v>
      </c>
      <c r="P2">
        <v>40000412</v>
      </c>
      <c r="Q2">
        <v>40578842</v>
      </c>
      <c r="R2">
        <v>41454761</v>
      </c>
      <c r="S2">
        <v>42647492</v>
      </c>
    </row>
    <row r="3" spans="1:19" x14ac:dyDescent="0.35">
      <c r="A3" t="s">
        <v>16</v>
      </c>
      <c r="B3" t="s">
        <v>17</v>
      </c>
      <c r="C3" t="s">
        <v>20</v>
      </c>
      <c r="D3" t="s">
        <v>21</v>
      </c>
      <c r="E3" t="str">
        <f>VLOOKUP(C3, Continent!A:B, 2, FALSE)</f>
        <v>Europe</v>
      </c>
      <c r="F3" s="14">
        <f>((Table1[[#This Row],[2024 '[YR2024']]]-Table1[[#This Row],[1990 '[YR1990']]])/Table1[[#This Row],[1990 '[YR1990']]])*100</f>
        <v>-17.402029245328375</v>
      </c>
      <c r="G3" s="14">
        <f>((Table1[[#This Row],[2024 '[YR2024']]] / Table1[[#This Row],[1990 '[YR1990']]]) ^ (1 / (2024 - 1990)) - 1) * 100</f>
        <v>-0.56073103979109584</v>
      </c>
      <c r="H3">
        <v>3286542</v>
      </c>
      <c r="I3">
        <v>3089027</v>
      </c>
      <c r="J3">
        <v>2880703</v>
      </c>
      <c r="K3">
        <v>2876101</v>
      </c>
      <c r="L3">
        <v>2873457</v>
      </c>
      <c r="M3">
        <v>2866376</v>
      </c>
      <c r="N3">
        <v>2854191</v>
      </c>
      <c r="O3">
        <v>2837849</v>
      </c>
      <c r="P3">
        <v>2811666</v>
      </c>
      <c r="Q3">
        <v>2777689</v>
      </c>
      <c r="R3">
        <v>2745972</v>
      </c>
      <c r="S3">
        <v>2714617</v>
      </c>
    </row>
    <row r="4" spans="1:19" x14ac:dyDescent="0.35">
      <c r="A4" t="s">
        <v>16</v>
      </c>
      <c r="B4" t="s">
        <v>17</v>
      </c>
      <c r="C4" t="s">
        <v>22</v>
      </c>
      <c r="D4" t="s">
        <v>23</v>
      </c>
      <c r="E4" t="str">
        <f>VLOOKUP(C4, Continent!A:B, 2, FALSE)</f>
        <v>Africa</v>
      </c>
      <c r="F4" s="14">
        <f>((Table1[[#This Row],[2024 '[YR2024']]]-Table1[[#This Row],[1990 '[YR1990']]])/Table1[[#This Row],[1990 '[YR1990']]])*100</f>
        <v>84.483994796619299</v>
      </c>
      <c r="G4" s="14">
        <f>((Table1[[#This Row],[2024 '[YR2024']]] / Table1[[#This Row],[1990 '[YR1990']]]) ^ (1 / (2024 - 1990)) - 1) * 100</f>
        <v>1.81747309892899</v>
      </c>
      <c r="H4">
        <v>25375810</v>
      </c>
      <c r="I4">
        <v>30903893</v>
      </c>
      <c r="J4">
        <v>40019529</v>
      </c>
      <c r="K4">
        <v>40850721</v>
      </c>
      <c r="L4">
        <v>41689299</v>
      </c>
      <c r="M4">
        <v>42505035</v>
      </c>
      <c r="N4">
        <v>43294546</v>
      </c>
      <c r="O4">
        <v>44042091</v>
      </c>
      <c r="P4">
        <v>44761099</v>
      </c>
      <c r="Q4">
        <v>45477389</v>
      </c>
      <c r="R4">
        <v>46164219</v>
      </c>
      <c r="S4">
        <v>46814308</v>
      </c>
    </row>
    <row r="5" spans="1:19" x14ac:dyDescent="0.35">
      <c r="A5" t="s">
        <v>16</v>
      </c>
      <c r="B5" t="s">
        <v>17</v>
      </c>
      <c r="C5" t="s">
        <v>24</v>
      </c>
      <c r="D5" t="s">
        <v>25</v>
      </c>
      <c r="E5" t="str">
        <f>VLOOKUP(C5, Continent!A:B, 2, FALSE)</f>
        <v>Oceania</v>
      </c>
      <c r="F5" s="14">
        <f>((Table1[[#This Row],[2024 '[YR2024']]]-Table1[[#This Row],[1990 '[YR1990']]])/Table1[[#This Row],[1990 '[YR1990']]])*100</f>
        <v>0.26801029159519724</v>
      </c>
      <c r="G5" s="14">
        <f>((Table1[[#This Row],[2024 '[YR2024']]] / Table1[[#This Row],[1990 '[YR1990']]]) ^ (1 / (2024 - 1990)) - 1) * 100</f>
        <v>7.8724211655112342E-3</v>
      </c>
      <c r="H5">
        <v>46640</v>
      </c>
      <c r="I5">
        <v>56855</v>
      </c>
      <c r="J5">
        <v>52878</v>
      </c>
      <c r="K5">
        <v>52245</v>
      </c>
      <c r="L5">
        <v>51586</v>
      </c>
      <c r="M5">
        <v>50908</v>
      </c>
      <c r="N5">
        <v>50209</v>
      </c>
      <c r="O5">
        <v>49761</v>
      </c>
      <c r="P5">
        <v>49225</v>
      </c>
      <c r="Q5">
        <v>48342</v>
      </c>
      <c r="R5">
        <v>47521</v>
      </c>
      <c r="S5">
        <v>46765</v>
      </c>
    </row>
    <row r="6" spans="1:19" x14ac:dyDescent="0.35">
      <c r="A6" t="s">
        <v>16</v>
      </c>
      <c r="B6" t="s">
        <v>17</v>
      </c>
      <c r="C6" t="s">
        <v>26</v>
      </c>
      <c r="D6" t="s">
        <v>27</v>
      </c>
      <c r="E6" t="str">
        <f>VLOOKUP(C6, Continent!A:B, 2, FALSE)</f>
        <v>Europe</v>
      </c>
      <c r="F6" s="14">
        <f>((Table1[[#This Row],[2024 '[YR2024']]]-Table1[[#This Row],[1990 '[YR1990']]])/Table1[[#This Row],[1990 '[YR1990']]])*100</f>
        <v>55.784550449645423</v>
      </c>
      <c r="G6" s="14">
        <f>((Table1[[#This Row],[2024 '[YR2024']]] / Table1[[#This Row],[1990 '[YR1990']]]) ^ (1 / (2024 - 1990)) - 1) * 100</f>
        <v>1.312371632839282</v>
      </c>
      <c r="H6">
        <v>52597</v>
      </c>
      <c r="I6">
        <v>65685</v>
      </c>
      <c r="J6">
        <v>72174</v>
      </c>
      <c r="K6">
        <v>72181</v>
      </c>
      <c r="L6">
        <v>73763</v>
      </c>
      <c r="M6">
        <v>75162</v>
      </c>
      <c r="N6">
        <v>76474</v>
      </c>
      <c r="O6">
        <v>77380</v>
      </c>
      <c r="P6">
        <v>78364</v>
      </c>
      <c r="Q6">
        <v>79705</v>
      </c>
      <c r="R6">
        <v>80856</v>
      </c>
      <c r="S6">
        <v>81938</v>
      </c>
    </row>
    <row r="7" spans="1:19" x14ac:dyDescent="0.35">
      <c r="A7" t="s">
        <v>16</v>
      </c>
      <c r="B7" t="s">
        <v>17</v>
      </c>
      <c r="C7" t="s">
        <v>28</v>
      </c>
      <c r="D7" t="s">
        <v>29</v>
      </c>
      <c r="E7" t="str">
        <f>VLOOKUP(C7, Continent!A:B, 2, FALSE)</f>
        <v>Africa</v>
      </c>
      <c r="F7" s="14">
        <f>((Table1[[#This Row],[2024 '[YR2024']]]-Table1[[#This Row],[1990 '[YR1990']]])/Table1[[#This Row],[1990 '[YR1990']]])*100</f>
        <v>225.86165403445273</v>
      </c>
      <c r="G7" s="14">
        <f>((Table1[[#This Row],[2024 '[YR2024']]] / Table1[[#This Row],[1990 '[YR1990']]]) ^ (1 / (2024 - 1990)) - 1) * 100</f>
        <v>3.5354829061696291</v>
      </c>
      <c r="H7">
        <v>11626360</v>
      </c>
      <c r="I7">
        <v>16194869</v>
      </c>
      <c r="J7">
        <v>28157798</v>
      </c>
      <c r="K7">
        <v>29183070</v>
      </c>
      <c r="L7">
        <v>30234839</v>
      </c>
      <c r="M7">
        <v>31297155</v>
      </c>
      <c r="N7">
        <v>32375632</v>
      </c>
      <c r="O7">
        <v>33451132</v>
      </c>
      <c r="P7">
        <v>34532429</v>
      </c>
      <c r="Q7">
        <v>35635029</v>
      </c>
      <c r="R7">
        <v>36749906</v>
      </c>
      <c r="S7">
        <v>37885849</v>
      </c>
    </row>
    <row r="8" spans="1:19" x14ac:dyDescent="0.35">
      <c r="A8" t="s">
        <v>16</v>
      </c>
      <c r="B8" t="s">
        <v>17</v>
      </c>
      <c r="C8" t="s">
        <v>30</v>
      </c>
      <c r="D8" t="s">
        <v>31</v>
      </c>
      <c r="E8" t="str">
        <f>VLOOKUP(C8, Continent!A:B, 2, FALSE)</f>
        <v>North America</v>
      </c>
      <c r="F8" s="14">
        <f>((Table1[[#This Row],[2024 '[YR2024']]]-Table1[[#This Row],[1990 '[YR1990']]])/Table1[[#This Row],[1990 '[YR1990']]])*100</f>
        <v>48.688675355976279</v>
      </c>
      <c r="G8" s="14">
        <f>((Table1[[#This Row],[2024 '[YR2024']]] / Table1[[#This Row],[1990 '[YR1990']]]) ^ (1 / (2024 - 1990)) - 1) * 100</f>
        <v>1.1735518527364652</v>
      </c>
      <c r="H8">
        <v>63066</v>
      </c>
      <c r="I8">
        <v>74912</v>
      </c>
      <c r="J8">
        <v>89409</v>
      </c>
      <c r="K8">
        <v>89969</v>
      </c>
      <c r="L8">
        <v>90468</v>
      </c>
      <c r="M8">
        <v>90926</v>
      </c>
      <c r="N8">
        <v>91364</v>
      </c>
      <c r="O8">
        <v>91846</v>
      </c>
      <c r="P8">
        <v>92349</v>
      </c>
      <c r="Q8">
        <v>92840</v>
      </c>
      <c r="R8">
        <v>93316</v>
      </c>
      <c r="S8">
        <v>93772</v>
      </c>
    </row>
    <row r="9" spans="1:19" x14ac:dyDescent="0.35">
      <c r="A9" t="s">
        <v>16</v>
      </c>
      <c r="B9" t="s">
        <v>17</v>
      </c>
      <c r="C9" t="s">
        <v>32</v>
      </c>
      <c r="D9" t="s">
        <v>33</v>
      </c>
      <c r="E9" t="str">
        <f>VLOOKUP(C9, Continent!A:B, 2, FALSE)</f>
        <v>South America</v>
      </c>
      <c r="F9" s="14">
        <f>((Table1[[#This Row],[2024 '[YR2024']]]-Table1[[#This Row],[1990 '[YR1990']]])/Table1[[#This Row],[1990 '[YR1990']]])*100</f>
        <v>39.505120008758112</v>
      </c>
      <c r="G9" s="14">
        <f>((Table1[[#This Row],[2024 '[YR2024']]] / Table1[[#This Row],[1990 '[YR1990']]]) ^ (1 / (2024 - 1990)) - 1) * 100</f>
        <v>0.98401910809804427</v>
      </c>
      <c r="H9">
        <v>32755901</v>
      </c>
      <c r="I9">
        <v>37213984</v>
      </c>
      <c r="J9">
        <v>43477012</v>
      </c>
      <c r="K9">
        <v>43900313</v>
      </c>
      <c r="L9">
        <v>44288894</v>
      </c>
      <c r="M9">
        <v>44654882</v>
      </c>
      <c r="N9">
        <v>44973465</v>
      </c>
      <c r="O9">
        <v>45191965</v>
      </c>
      <c r="P9">
        <v>45312281</v>
      </c>
      <c r="Q9">
        <v>45407904</v>
      </c>
      <c r="R9">
        <v>45538401</v>
      </c>
      <c r="S9">
        <v>45696159</v>
      </c>
    </row>
    <row r="10" spans="1:19" x14ac:dyDescent="0.35">
      <c r="A10" t="s">
        <v>16</v>
      </c>
      <c r="B10" t="s">
        <v>17</v>
      </c>
      <c r="C10" t="s">
        <v>34</v>
      </c>
      <c r="D10" t="s">
        <v>35</v>
      </c>
      <c r="E10" t="str">
        <f>VLOOKUP(C10, Continent!A:B, 2, FALSE)</f>
        <v>Asia</v>
      </c>
      <c r="F10" s="14">
        <f>((Table1[[#This Row],[2024 '[YR2024']]]-Table1[[#This Row],[1990 '[YR1990']]])/Table1[[#This Row],[1990 '[YR1990']]])*100</f>
        <v>-14.60048736982451</v>
      </c>
      <c r="G10" s="14">
        <f>((Table1[[#This Row],[2024 '[YR2024']]] / Table1[[#This Row],[1990 '[YR1990']]]) ^ (1 / (2024 - 1990)) - 1) * 100</f>
        <v>-0.46312950349640669</v>
      </c>
      <c r="H10">
        <v>3552128</v>
      </c>
      <c r="I10">
        <v>3221100</v>
      </c>
      <c r="J10">
        <v>3004600</v>
      </c>
      <c r="K10">
        <v>2992300</v>
      </c>
      <c r="L10">
        <v>2979400</v>
      </c>
      <c r="M10">
        <v>2969000</v>
      </c>
      <c r="N10">
        <v>2962500</v>
      </c>
      <c r="O10">
        <v>2961500</v>
      </c>
      <c r="P10">
        <v>2962300</v>
      </c>
      <c r="Q10">
        <v>2969200</v>
      </c>
      <c r="R10">
        <v>2964300</v>
      </c>
      <c r="S10">
        <v>3033500</v>
      </c>
    </row>
    <row r="11" spans="1:19" x14ac:dyDescent="0.35">
      <c r="A11" t="s">
        <v>16</v>
      </c>
      <c r="B11" t="s">
        <v>17</v>
      </c>
      <c r="C11" t="s">
        <v>36</v>
      </c>
      <c r="D11" t="s">
        <v>37</v>
      </c>
      <c r="E11" t="str">
        <f>VLOOKUP(C11, Continent!A:B, 2, FALSE)</f>
        <v>North America</v>
      </c>
      <c r="F11" s="14">
        <f>((Table1[[#This Row],[2024 '[YR2024']]]-Table1[[#This Row],[1990 '[YR1990']]])/Table1[[#This Row],[1990 '[YR1990']]])*100</f>
        <v>71.504151195958755</v>
      </c>
      <c r="G11" s="14">
        <f>((Table1[[#This Row],[2024 '[YR2024']]] / Table1[[#This Row],[1990 '[YR1990']]]) ^ (1 / (2024 - 1990)) - 1) * 100</f>
        <v>1.5992332642552398</v>
      </c>
      <c r="H11">
        <v>62753</v>
      </c>
      <c r="I11">
        <v>90588</v>
      </c>
      <c r="J11">
        <v>107906</v>
      </c>
      <c r="K11">
        <v>108727</v>
      </c>
      <c r="L11">
        <v>108735</v>
      </c>
      <c r="M11">
        <v>108908</v>
      </c>
      <c r="N11">
        <v>109203</v>
      </c>
      <c r="O11">
        <v>108587</v>
      </c>
      <c r="P11">
        <v>107700</v>
      </c>
      <c r="Q11">
        <v>107310</v>
      </c>
      <c r="R11">
        <v>107359</v>
      </c>
      <c r="S11">
        <v>107624</v>
      </c>
    </row>
    <row r="12" spans="1:19" x14ac:dyDescent="0.35">
      <c r="A12" t="s">
        <v>16</v>
      </c>
      <c r="B12" t="s">
        <v>17</v>
      </c>
      <c r="C12" t="s">
        <v>38</v>
      </c>
      <c r="D12" t="s">
        <v>39</v>
      </c>
      <c r="E12" t="str">
        <f>VLOOKUP(C12, Continent!A:B, 2, FALSE)</f>
        <v>Oceania</v>
      </c>
      <c r="F12" s="14">
        <f>((Table1[[#This Row],[2024 '[YR2024']]]-Table1[[#This Row],[1990 '[YR1990']]])/Table1[[#This Row],[1990 '[YR1990']]])*100</f>
        <v>59.417550222887286</v>
      </c>
      <c r="G12" s="14">
        <f>((Table1[[#This Row],[2024 '[YR2024']]] / Table1[[#This Row],[1990 '[YR1990']]]) ^ (1 / (2024 - 1990)) - 1) * 100</f>
        <v>1.3810873843767002</v>
      </c>
      <c r="H12">
        <v>17065128</v>
      </c>
      <c r="I12">
        <v>19028802</v>
      </c>
      <c r="J12">
        <v>23815995</v>
      </c>
      <c r="K12">
        <v>24190907</v>
      </c>
      <c r="L12">
        <v>24592588</v>
      </c>
      <c r="M12">
        <v>24963258</v>
      </c>
      <c r="N12">
        <v>25334826</v>
      </c>
      <c r="O12">
        <v>25649248</v>
      </c>
      <c r="P12">
        <v>25685412</v>
      </c>
      <c r="Q12">
        <v>26014399</v>
      </c>
      <c r="R12">
        <v>26652777</v>
      </c>
      <c r="S12">
        <v>27204809</v>
      </c>
    </row>
    <row r="13" spans="1:19" x14ac:dyDescent="0.35">
      <c r="A13" t="s">
        <v>16</v>
      </c>
      <c r="B13" t="s">
        <v>17</v>
      </c>
      <c r="C13" t="s">
        <v>40</v>
      </c>
      <c r="D13" t="s">
        <v>41</v>
      </c>
      <c r="E13" t="str">
        <f>VLOOKUP(C13, Continent!A:B, 2, FALSE)</f>
        <v>Europe</v>
      </c>
      <c r="F13" s="14">
        <f>((Table1[[#This Row],[2024 '[YR2024']]]-Table1[[#This Row],[1990 '[YR1990']]])/Table1[[#This Row],[1990 '[YR1990']]])*100</f>
        <v>19.544950734906255</v>
      </c>
      <c r="G13" s="14">
        <f>((Table1[[#This Row],[2024 '[YR2024']]] / Table1[[#This Row],[1990 '[YR1990']]]) ^ (1 / (2024 - 1990)) - 1) * 100</f>
        <v>0.52644638892134221</v>
      </c>
      <c r="H13">
        <v>7677850</v>
      </c>
      <c r="I13">
        <v>8011566</v>
      </c>
      <c r="J13">
        <v>8642699</v>
      </c>
      <c r="K13">
        <v>8736668</v>
      </c>
      <c r="L13">
        <v>8797566</v>
      </c>
      <c r="M13">
        <v>8840521</v>
      </c>
      <c r="N13">
        <v>8879920</v>
      </c>
      <c r="O13">
        <v>8916864</v>
      </c>
      <c r="P13">
        <v>8955797</v>
      </c>
      <c r="Q13">
        <v>9041851</v>
      </c>
      <c r="R13">
        <v>9131761</v>
      </c>
      <c r="S13">
        <v>9178482</v>
      </c>
    </row>
    <row r="14" spans="1:19" x14ac:dyDescent="0.35">
      <c r="A14" t="s">
        <v>16</v>
      </c>
      <c r="B14" t="s">
        <v>17</v>
      </c>
      <c r="C14" t="s">
        <v>42</v>
      </c>
      <c r="D14" t="s">
        <v>43</v>
      </c>
      <c r="E14" t="str">
        <f>VLOOKUP(C14, Continent!A:B, 2, FALSE)</f>
        <v>Asia</v>
      </c>
      <c r="F14" s="14">
        <f>((Table1[[#This Row],[2024 '[YR2024']]]-Table1[[#This Row],[1990 '[YR1990']]])/Table1[[#This Row],[1990 '[YR1990']]])*100</f>
        <v>42.196036347418882</v>
      </c>
      <c r="G14" s="14">
        <f>((Table1[[#This Row],[2024 '[YR2024']]] / Table1[[#This Row],[1990 '[YR1990']]]) ^ (1 / (2024 - 1990)) - 1) * 100</f>
        <v>1.0407801725671684</v>
      </c>
      <c r="H14">
        <v>7175200</v>
      </c>
      <c r="I14">
        <v>8048600</v>
      </c>
      <c r="J14">
        <v>9649341</v>
      </c>
      <c r="K14">
        <v>9757812</v>
      </c>
      <c r="L14">
        <v>9854033</v>
      </c>
      <c r="M14">
        <v>9939771</v>
      </c>
      <c r="N14">
        <v>10024283</v>
      </c>
      <c r="O14">
        <v>10093121</v>
      </c>
      <c r="P14">
        <v>10137750</v>
      </c>
      <c r="Q14">
        <v>10141756</v>
      </c>
      <c r="R14">
        <v>10153958</v>
      </c>
      <c r="S14">
        <v>10202850</v>
      </c>
    </row>
    <row r="15" spans="1:19" x14ac:dyDescent="0.35">
      <c r="A15" t="s">
        <v>16</v>
      </c>
      <c r="B15" t="s">
        <v>17</v>
      </c>
      <c r="C15" t="s">
        <v>552</v>
      </c>
      <c r="D15" t="s">
        <v>44</v>
      </c>
      <c r="E15" t="str">
        <f>VLOOKUP(C15, Continent!A:B, 2, FALSE)</f>
        <v>North America</v>
      </c>
      <c r="F15" s="14">
        <f>((Table1[[#This Row],[2024 '[YR2024']]]-Table1[[#This Row],[1990 '[YR1990']]])/Table1[[#This Row],[1990 '[YR1990']]])*100</f>
        <v>45.421370200583446</v>
      </c>
      <c r="G15" s="14">
        <f>((Table1[[#This Row],[2024 '[YR2024']]] / Table1[[#This Row],[1990 '[YR1990']]]) ^ (1 / (2024 - 1990)) - 1) * 100</f>
        <v>1.1074560498010255</v>
      </c>
      <c r="H15">
        <v>275945</v>
      </c>
      <c r="I15">
        <v>323835</v>
      </c>
      <c r="J15">
        <v>385346</v>
      </c>
      <c r="K15">
        <v>388055</v>
      </c>
      <c r="L15">
        <v>390485</v>
      </c>
      <c r="M15">
        <v>392717</v>
      </c>
      <c r="N15">
        <v>394675</v>
      </c>
      <c r="O15">
        <v>395863</v>
      </c>
      <c r="P15">
        <v>396373</v>
      </c>
      <c r="Q15">
        <v>397538</v>
      </c>
      <c r="R15">
        <v>399440</v>
      </c>
      <c r="S15">
        <v>401283</v>
      </c>
    </row>
    <row r="16" spans="1:19" x14ac:dyDescent="0.35">
      <c r="A16" t="s">
        <v>16</v>
      </c>
      <c r="B16" t="s">
        <v>17</v>
      </c>
      <c r="C16" t="s">
        <v>45</v>
      </c>
      <c r="D16" t="s">
        <v>46</v>
      </c>
      <c r="E16" t="str">
        <f>VLOOKUP(C16, Continent!A:B, 2, FALSE)</f>
        <v>Asia</v>
      </c>
      <c r="F16" s="14">
        <f>((Table1[[#This Row],[2024 '[YR2024']]]-Table1[[#This Row],[1990 '[YR1990']]])/Table1[[#This Row],[1990 '[YR1990']]])*100</f>
        <v>208.60125447506493</v>
      </c>
      <c r="G16" s="14">
        <f>((Table1[[#This Row],[2024 '[YR2024']]] / Table1[[#This Row],[1990 '[YR1990']]]) ^ (1 / (2024 - 1990)) - 1) * 100</f>
        <v>3.3698889285279643</v>
      </c>
      <c r="H16">
        <v>514797</v>
      </c>
      <c r="I16">
        <v>637582</v>
      </c>
      <c r="J16">
        <v>1370322</v>
      </c>
      <c r="K16">
        <v>1423726</v>
      </c>
      <c r="L16">
        <v>1501116</v>
      </c>
      <c r="M16">
        <v>1503091</v>
      </c>
      <c r="N16">
        <v>1483756</v>
      </c>
      <c r="O16">
        <v>1472204</v>
      </c>
      <c r="P16">
        <v>1504365</v>
      </c>
      <c r="Q16">
        <v>1524693</v>
      </c>
      <c r="R16">
        <v>1577059</v>
      </c>
      <c r="S16">
        <v>1588670</v>
      </c>
    </row>
    <row r="17" spans="1:19" x14ac:dyDescent="0.35">
      <c r="A17" t="s">
        <v>16</v>
      </c>
      <c r="B17" t="s">
        <v>17</v>
      </c>
      <c r="C17" t="s">
        <v>47</v>
      </c>
      <c r="D17" t="s">
        <v>48</v>
      </c>
      <c r="E17" t="str">
        <f>VLOOKUP(C17, Continent!A:B, 2, FALSE)</f>
        <v>Asia</v>
      </c>
      <c r="F17" s="14">
        <f>((Table1[[#This Row],[2024 '[YR2024']]]-Table1[[#This Row],[1990 '[YR1990']]])/Table1[[#This Row],[1990 '[YR1990']]])*100</f>
        <v>55.474858908442513</v>
      </c>
      <c r="G17" s="14">
        <f>((Table1[[#This Row],[2024 '[YR2024']]] / Table1[[#This Row],[1990 '[YR1990']]]) ^ (1 / (2024 - 1990)) - 1) * 100</f>
        <v>1.3064422724297975</v>
      </c>
      <c r="H17">
        <v>111633717</v>
      </c>
      <c r="I17">
        <v>134544304</v>
      </c>
      <c r="J17">
        <v>159383179</v>
      </c>
      <c r="K17">
        <v>160811932</v>
      </c>
      <c r="L17">
        <v>162186147</v>
      </c>
      <c r="M17">
        <v>163523103</v>
      </c>
      <c r="N17">
        <v>164913055</v>
      </c>
      <c r="O17">
        <v>166298024</v>
      </c>
      <c r="P17">
        <v>167658854</v>
      </c>
      <c r="Q17">
        <v>169384897</v>
      </c>
      <c r="R17">
        <v>171466990</v>
      </c>
      <c r="S17">
        <v>173562364</v>
      </c>
    </row>
    <row r="18" spans="1:19" x14ac:dyDescent="0.35">
      <c r="A18" t="s">
        <v>16</v>
      </c>
      <c r="B18" t="s">
        <v>17</v>
      </c>
      <c r="C18" t="s">
        <v>49</v>
      </c>
      <c r="D18" t="s">
        <v>50</v>
      </c>
      <c r="E18" t="str">
        <f>VLOOKUP(C18, Continent!A:B, 2, FALSE)</f>
        <v>North America</v>
      </c>
      <c r="F18" s="14">
        <f>((Table1[[#This Row],[2024 '[YR2024']]]-Table1[[#This Row],[1990 '[YR1990']]])/Table1[[#This Row],[1990 '[YR1990']]])*100</f>
        <v>9.2369151758436399</v>
      </c>
      <c r="G18" s="14">
        <f>((Table1[[#This Row],[2024 '[YR2024']]] / Table1[[#This Row],[1990 '[YR1990']]]) ^ (1 / (2024 - 1990)) - 1) * 100</f>
        <v>0.26018752308858417</v>
      </c>
      <c r="H18">
        <v>258582</v>
      </c>
      <c r="I18">
        <v>262063</v>
      </c>
      <c r="J18">
        <v>278990</v>
      </c>
      <c r="K18">
        <v>279598</v>
      </c>
      <c r="L18">
        <v>280171</v>
      </c>
      <c r="M18">
        <v>280711</v>
      </c>
      <c r="N18">
        <v>281207</v>
      </c>
      <c r="O18">
        <v>281698</v>
      </c>
      <c r="P18">
        <v>282147</v>
      </c>
      <c r="Q18">
        <v>282318</v>
      </c>
      <c r="R18">
        <v>282336</v>
      </c>
      <c r="S18">
        <v>282467</v>
      </c>
    </row>
    <row r="19" spans="1:19" x14ac:dyDescent="0.35">
      <c r="A19" t="s">
        <v>16</v>
      </c>
      <c r="B19" t="s">
        <v>17</v>
      </c>
      <c r="C19" t="s">
        <v>51</v>
      </c>
      <c r="D19" t="s">
        <v>52</v>
      </c>
      <c r="E19" t="str">
        <f>VLOOKUP(C19, Continent!A:B, 2, FALSE)</f>
        <v>Europe</v>
      </c>
      <c r="F19" s="14">
        <f>((Table1[[#This Row],[2024 '[YR2024']]]-Table1[[#This Row],[1990 '[YR1990']]])/Table1[[#This Row],[1990 '[YR1990']]])*100</f>
        <v>-10.360191839556368</v>
      </c>
      <c r="G19" s="14">
        <f>((Table1[[#This Row],[2024 '[YR2024']]] / Table1[[#This Row],[1990 '[YR1990']]]) ^ (1 / (2024 - 1990)) - 1) * 100</f>
        <v>-0.32116163142189569</v>
      </c>
      <c r="H19">
        <v>10189348</v>
      </c>
      <c r="I19">
        <v>9979610</v>
      </c>
      <c r="J19">
        <v>9461076</v>
      </c>
      <c r="K19">
        <v>9469379</v>
      </c>
      <c r="L19">
        <v>9458989</v>
      </c>
      <c r="M19">
        <v>9438785</v>
      </c>
      <c r="N19">
        <v>9419758</v>
      </c>
      <c r="O19">
        <v>9379952</v>
      </c>
      <c r="P19">
        <v>9302585</v>
      </c>
      <c r="Q19">
        <v>9228071</v>
      </c>
      <c r="R19">
        <v>9178298</v>
      </c>
      <c r="S19">
        <v>9133712</v>
      </c>
    </row>
    <row r="20" spans="1:19" x14ac:dyDescent="0.35">
      <c r="A20" t="s">
        <v>16</v>
      </c>
      <c r="B20" t="s">
        <v>17</v>
      </c>
      <c r="C20" t="s">
        <v>53</v>
      </c>
      <c r="D20" t="s">
        <v>54</v>
      </c>
      <c r="E20" t="str">
        <f>VLOOKUP(C20, Continent!A:B, 2, FALSE)</f>
        <v>Europe</v>
      </c>
      <c r="F20" s="14">
        <f>((Table1[[#This Row],[2024 '[YR2024']]]-Table1[[#This Row],[1990 '[YR1990']]])/Table1[[#This Row],[1990 '[YR1990']]])*100</f>
        <v>19.157142514596867</v>
      </c>
      <c r="G20" s="14">
        <f>((Table1[[#This Row],[2024 '[YR2024']]] / Table1[[#This Row],[1990 '[YR1990']]]) ^ (1 / (2024 - 1990)) - 1) * 100</f>
        <v>0.51683974215479545</v>
      </c>
      <c r="H20">
        <v>9967379</v>
      </c>
      <c r="I20">
        <v>10251250</v>
      </c>
      <c r="J20">
        <v>11274196</v>
      </c>
      <c r="K20">
        <v>11331422</v>
      </c>
      <c r="L20">
        <v>11375158</v>
      </c>
      <c r="M20">
        <v>11427054</v>
      </c>
      <c r="N20">
        <v>11488980</v>
      </c>
      <c r="O20">
        <v>11538604</v>
      </c>
      <c r="P20">
        <v>11586195</v>
      </c>
      <c r="Q20">
        <v>11680210</v>
      </c>
      <c r="R20">
        <v>11787423</v>
      </c>
      <c r="S20">
        <v>11876844</v>
      </c>
    </row>
    <row r="21" spans="1:19" x14ac:dyDescent="0.35">
      <c r="A21" t="s">
        <v>16</v>
      </c>
      <c r="B21" t="s">
        <v>17</v>
      </c>
      <c r="C21" t="s">
        <v>55</v>
      </c>
      <c r="D21" t="s">
        <v>56</v>
      </c>
      <c r="E21" t="str">
        <f>VLOOKUP(C21, Continent!A:B, 2, FALSE)</f>
        <v>North America</v>
      </c>
      <c r="F21" s="14">
        <f>((Table1[[#This Row],[2024 '[YR2024']]]-Table1[[#This Row],[1990 '[YR1990']]])/Table1[[#This Row],[1990 '[YR1990']]])*100</f>
        <v>127.81358561471738</v>
      </c>
      <c r="G21" s="14">
        <f>((Table1[[#This Row],[2024 '[YR2024']]] / Table1[[#This Row],[1990 '[YR1990']]]) ^ (1 / (2024 - 1990)) - 1) * 100</f>
        <v>2.4511995335023684</v>
      </c>
      <c r="H21">
        <v>183076</v>
      </c>
      <c r="I21">
        <v>240799</v>
      </c>
      <c r="J21">
        <v>356333</v>
      </c>
      <c r="K21">
        <v>364705</v>
      </c>
      <c r="L21">
        <v>373202</v>
      </c>
      <c r="M21">
        <v>380226</v>
      </c>
      <c r="N21">
        <v>385829</v>
      </c>
      <c r="O21">
        <v>390812</v>
      </c>
      <c r="P21">
        <v>395346</v>
      </c>
      <c r="Q21">
        <v>402733</v>
      </c>
      <c r="R21">
        <v>411106</v>
      </c>
      <c r="S21">
        <v>417072</v>
      </c>
    </row>
    <row r="22" spans="1:19" x14ac:dyDescent="0.35">
      <c r="A22" t="s">
        <v>16</v>
      </c>
      <c r="B22" t="s">
        <v>17</v>
      </c>
      <c r="C22" t="s">
        <v>57</v>
      </c>
      <c r="D22" t="s">
        <v>58</v>
      </c>
      <c r="E22" t="str">
        <f>VLOOKUP(C22, Continent!A:B, 2, FALSE)</f>
        <v>Africa</v>
      </c>
      <c r="F22" s="14">
        <f>((Table1[[#This Row],[2024 '[YR2024']]]-Table1[[#This Row],[1990 '[YR1990']]])/Table1[[#This Row],[1990 '[YR1990']]])*100</f>
        <v>173.83852136873023</v>
      </c>
      <c r="G22" s="14">
        <f>((Table1[[#This Row],[2024 '[YR2024']]] / Table1[[#This Row],[1990 '[YR1990']]]) ^ (1 / (2024 - 1990)) - 1) * 100</f>
        <v>3.0071773275884839</v>
      </c>
      <c r="H22">
        <v>5281479</v>
      </c>
      <c r="I22">
        <v>7221619</v>
      </c>
      <c r="J22">
        <v>11360681</v>
      </c>
      <c r="K22">
        <v>11697842</v>
      </c>
      <c r="L22">
        <v>12039780</v>
      </c>
      <c r="M22">
        <v>12383347</v>
      </c>
      <c r="N22">
        <v>12726755</v>
      </c>
      <c r="O22">
        <v>13070169</v>
      </c>
      <c r="P22">
        <v>13413417</v>
      </c>
      <c r="Q22">
        <v>13759501</v>
      </c>
      <c r="R22">
        <v>14111034</v>
      </c>
      <c r="S22">
        <v>14462724</v>
      </c>
    </row>
    <row r="23" spans="1:19" x14ac:dyDescent="0.35">
      <c r="A23" t="s">
        <v>16</v>
      </c>
      <c r="B23" t="s">
        <v>17</v>
      </c>
      <c r="C23" t="s">
        <v>59</v>
      </c>
      <c r="D23" t="s">
        <v>60</v>
      </c>
      <c r="E23" t="str">
        <f>VLOOKUP(C23, Continent!A:B, 2, FALSE)</f>
        <v>North America</v>
      </c>
      <c r="F23" s="14">
        <f>((Table1[[#This Row],[2024 '[YR2024']]]-Table1[[#This Row],[1990 '[YR1990']]])/Table1[[#This Row],[1990 '[YR1990']]])*100</f>
        <v>12.295210132212164</v>
      </c>
      <c r="G23" s="14">
        <f>((Table1[[#This Row],[2024 '[YR2024']]] / Table1[[#This Row],[1990 '[YR1990']]]) ^ (1 / (2024 - 1990)) - 1) * 100</f>
        <v>0.34164410828891878</v>
      </c>
      <c r="H23">
        <v>57559</v>
      </c>
      <c r="I23">
        <v>61550</v>
      </c>
      <c r="J23">
        <v>63464</v>
      </c>
      <c r="K23">
        <v>63449</v>
      </c>
      <c r="L23">
        <v>63578</v>
      </c>
      <c r="M23">
        <v>63831</v>
      </c>
      <c r="N23">
        <v>64107</v>
      </c>
      <c r="O23">
        <v>64382</v>
      </c>
      <c r="P23">
        <v>64648</v>
      </c>
      <c r="Q23">
        <v>64749</v>
      </c>
      <c r="R23">
        <v>64698</v>
      </c>
      <c r="S23">
        <v>64636</v>
      </c>
    </row>
    <row r="24" spans="1:19" x14ac:dyDescent="0.35">
      <c r="A24" t="s">
        <v>16</v>
      </c>
      <c r="B24" t="s">
        <v>17</v>
      </c>
      <c r="C24" t="s">
        <v>61</v>
      </c>
      <c r="D24" t="s">
        <v>62</v>
      </c>
      <c r="E24" t="str">
        <f>VLOOKUP(C24, Continent!A:B, 2, FALSE)</f>
        <v>Asia</v>
      </c>
      <c r="F24" s="14">
        <f>((Table1[[#This Row],[2024 '[YR2024']]]-Table1[[#This Row],[1990 '[YR1990']]])/Table1[[#This Row],[1990 '[YR1990']]])*100</f>
        <v>34.318931182938023</v>
      </c>
      <c r="G24" s="14">
        <f>((Table1[[#This Row],[2024 '[YR2024']]] / Table1[[#This Row],[1990 '[YR1990']]]) ^ (1 / (2024 - 1990)) - 1) * 100</f>
        <v>0.87156107866495081</v>
      </c>
      <c r="H24">
        <v>589287</v>
      </c>
      <c r="I24">
        <v>596863</v>
      </c>
      <c r="J24">
        <v>740618</v>
      </c>
      <c r="K24">
        <v>747866</v>
      </c>
      <c r="L24">
        <v>754335</v>
      </c>
      <c r="M24">
        <v>759759</v>
      </c>
      <c r="N24">
        <v>764824</v>
      </c>
      <c r="O24">
        <v>770006</v>
      </c>
      <c r="P24">
        <v>775442</v>
      </c>
      <c r="Q24">
        <v>780914</v>
      </c>
      <c r="R24">
        <v>786385</v>
      </c>
      <c r="S24">
        <v>791524</v>
      </c>
    </row>
    <row r="25" spans="1:19" x14ac:dyDescent="0.35">
      <c r="A25" t="s">
        <v>16</v>
      </c>
      <c r="B25" t="s">
        <v>17</v>
      </c>
      <c r="C25" t="s">
        <v>63</v>
      </c>
      <c r="D25" t="s">
        <v>64</v>
      </c>
      <c r="E25" t="str">
        <f>VLOOKUP(C25, Continent!A:B, 2, FALSE)</f>
        <v>South America</v>
      </c>
      <c r="F25" s="14">
        <f>((Table1[[#This Row],[2024 '[YR2024']]]-Table1[[#This Row],[1990 '[YR1990']]])/Table1[[#This Row],[1990 '[YR1990']]])*100</f>
        <v>74.096322345333377</v>
      </c>
      <c r="G25" s="14">
        <f>((Table1[[#This Row],[2024 '[YR2024']]] / Table1[[#This Row],[1990 '[YR1990']]]) ^ (1 / (2024 - 1990)) - 1) * 100</f>
        <v>1.6440700848481704</v>
      </c>
      <c r="H25">
        <v>7130142</v>
      </c>
      <c r="I25">
        <v>8606326</v>
      </c>
      <c r="J25">
        <v>11014705</v>
      </c>
      <c r="K25">
        <v>11180020</v>
      </c>
      <c r="L25">
        <v>11344587</v>
      </c>
      <c r="M25">
        <v>11508368</v>
      </c>
      <c r="N25">
        <v>11671386</v>
      </c>
      <c r="O25">
        <v>11816299</v>
      </c>
      <c r="P25">
        <v>11937360</v>
      </c>
      <c r="Q25">
        <v>12077154</v>
      </c>
      <c r="R25">
        <v>12244159</v>
      </c>
      <c r="S25">
        <v>12413315</v>
      </c>
    </row>
    <row r="26" spans="1:19" x14ac:dyDescent="0.35">
      <c r="A26" t="s">
        <v>16</v>
      </c>
      <c r="B26" t="s">
        <v>17</v>
      </c>
      <c r="C26" t="s">
        <v>65</v>
      </c>
      <c r="D26" t="s">
        <v>66</v>
      </c>
      <c r="E26" t="str">
        <f>VLOOKUP(C26, Continent!A:B, 2, FALSE)</f>
        <v>Europe</v>
      </c>
      <c r="F26" s="14">
        <f>((Table1[[#This Row],[2024 '[YR2024']]]-Table1[[#This Row],[1990 '[YR1990']]])/Table1[[#This Row],[1990 '[YR1990']]])*100</f>
        <v>-28.871644713949301</v>
      </c>
      <c r="G26" s="14">
        <f>((Table1[[#This Row],[2024 '[YR2024']]] / Table1[[#This Row],[1990 '[YR1990']]]) ^ (1 / (2024 - 1990)) - 1) * 100</f>
        <v>-0.99700870224357363</v>
      </c>
      <c r="H26">
        <v>4448652</v>
      </c>
      <c r="I26">
        <v>4159771</v>
      </c>
      <c r="J26">
        <v>3518541</v>
      </c>
      <c r="K26">
        <v>3473003</v>
      </c>
      <c r="L26">
        <v>3428682</v>
      </c>
      <c r="M26">
        <v>3387000</v>
      </c>
      <c r="N26">
        <v>3345533</v>
      </c>
      <c r="O26">
        <v>3299349</v>
      </c>
      <c r="P26">
        <v>3244907</v>
      </c>
      <c r="Q26">
        <v>3204802</v>
      </c>
      <c r="R26">
        <v>3185073</v>
      </c>
      <c r="S26">
        <v>3164253</v>
      </c>
    </row>
    <row r="27" spans="1:19" x14ac:dyDescent="0.35">
      <c r="A27" t="s">
        <v>16</v>
      </c>
      <c r="B27" t="s">
        <v>17</v>
      </c>
      <c r="C27" t="s">
        <v>67</v>
      </c>
      <c r="D27" t="s">
        <v>68</v>
      </c>
      <c r="E27" t="str">
        <f>VLOOKUP(C27, Continent!A:B, 2, FALSE)</f>
        <v>Africa</v>
      </c>
      <c r="F27" s="14">
        <f>((Table1[[#This Row],[2024 '[YR2024']]]-Table1[[#This Row],[1990 '[YR1990']]])/Table1[[#This Row],[1990 '[YR1990']]])*100</f>
        <v>93.087747837168834</v>
      </c>
      <c r="G27" s="14">
        <f>((Table1[[#This Row],[2024 '[YR2024']]] / Table1[[#This Row],[1990 '[YR1990']]]) ^ (1 / (2024 - 1990)) - 1) * 100</f>
        <v>1.9540660164939272</v>
      </c>
      <c r="H27">
        <v>1305696</v>
      </c>
      <c r="I27">
        <v>1677382</v>
      </c>
      <c r="J27">
        <v>2203273</v>
      </c>
      <c r="K27">
        <v>2234776</v>
      </c>
      <c r="L27">
        <v>2266747</v>
      </c>
      <c r="M27">
        <v>2299141</v>
      </c>
      <c r="N27">
        <v>2332083</v>
      </c>
      <c r="O27">
        <v>2365894</v>
      </c>
      <c r="P27">
        <v>2401441</v>
      </c>
      <c r="Q27">
        <v>2439892</v>
      </c>
      <c r="R27">
        <v>2480244</v>
      </c>
      <c r="S27">
        <v>2521139</v>
      </c>
    </row>
    <row r="28" spans="1:19" x14ac:dyDescent="0.35">
      <c r="A28" t="s">
        <v>16</v>
      </c>
      <c r="B28" t="s">
        <v>17</v>
      </c>
      <c r="C28" t="s">
        <v>69</v>
      </c>
      <c r="D28" t="s">
        <v>70</v>
      </c>
      <c r="E28" t="str">
        <f>VLOOKUP(C28, Continent!A:B, 2, FALSE)</f>
        <v>South America</v>
      </c>
      <c r="F28" s="14">
        <f>((Table1[[#This Row],[2024 '[YR2024']]]-Table1[[#This Row],[1990 '[YR1990']]])/Table1[[#This Row],[1990 '[YR1990']]])*100</f>
        <v>42.14428837976768</v>
      </c>
      <c r="G28" s="14">
        <f>((Table1[[#This Row],[2024 '[YR2024']]] / Table1[[#This Row],[1990 '[YR1990']]]) ^ (1 / (2024 - 1990)) - 1) * 100</f>
        <v>1.0396984888491057</v>
      </c>
      <c r="H28">
        <v>149143223</v>
      </c>
      <c r="I28">
        <v>174018282</v>
      </c>
      <c r="J28">
        <v>201675532</v>
      </c>
      <c r="K28">
        <v>203218114</v>
      </c>
      <c r="L28">
        <v>204703445</v>
      </c>
      <c r="M28">
        <v>206107261</v>
      </c>
      <c r="N28">
        <v>207455459</v>
      </c>
      <c r="O28">
        <v>208660842</v>
      </c>
      <c r="P28">
        <v>209550294</v>
      </c>
      <c r="Q28">
        <v>210306415</v>
      </c>
      <c r="R28">
        <v>211140729</v>
      </c>
      <c r="S28">
        <v>211998573</v>
      </c>
    </row>
    <row r="29" spans="1:19" x14ac:dyDescent="0.35">
      <c r="A29" t="s">
        <v>16</v>
      </c>
      <c r="B29" t="s">
        <v>17</v>
      </c>
      <c r="C29" t="s">
        <v>71</v>
      </c>
      <c r="D29" t="s">
        <v>72</v>
      </c>
      <c r="E29" t="str">
        <f>VLOOKUP(C29, Continent!A:B, 2, FALSE)</f>
        <v>North America</v>
      </c>
      <c r="F29" s="14">
        <f>((Table1[[#This Row],[2024 '[YR2024']]]-Table1[[#This Row],[1990 '[YR1990']]])/Table1[[#This Row],[1990 '[YR1990']]])*100</f>
        <v>151.34360672440144</v>
      </c>
      <c r="G29" s="14">
        <f>((Table1[[#This Row],[2024 '[YR2024']]] / Table1[[#This Row],[1990 '[YR1990']]]) ^ (1 / (2024 - 1990)) - 1) * 100</f>
        <v>2.7478122850291165</v>
      </c>
      <c r="H29">
        <v>15704</v>
      </c>
      <c r="I29">
        <v>20241</v>
      </c>
      <c r="J29">
        <v>34498</v>
      </c>
      <c r="K29">
        <v>33878</v>
      </c>
      <c r="L29">
        <v>32699</v>
      </c>
      <c r="M29">
        <v>34657</v>
      </c>
      <c r="N29">
        <v>36395</v>
      </c>
      <c r="O29">
        <v>37135</v>
      </c>
      <c r="P29">
        <v>37809</v>
      </c>
      <c r="Q29">
        <v>38319</v>
      </c>
      <c r="R29">
        <v>38985</v>
      </c>
      <c r="S29">
        <v>39471</v>
      </c>
    </row>
    <row r="30" spans="1:19" x14ac:dyDescent="0.35">
      <c r="A30" t="s">
        <v>16</v>
      </c>
      <c r="B30" t="s">
        <v>17</v>
      </c>
      <c r="C30" t="s">
        <v>73</v>
      </c>
      <c r="D30" t="s">
        <v>74</v>
      </c>
      <c r="E30" t="str">
        <f>VLOOKUP(C30, Continent!A:B, 2, FALSE)</f>
        <v>Asia</v>
      </c>
      <c r="F30" s="14">
        <f>((Table1[[#This Row],[2024 '[YR2024']]]-Table1[[#This Row],[1990 '[YR1990']]])/Table1[[#This Row],[1990 '[YR1990']]])*100</f>
        <v>81.251664760352853</v>
      </c>
      <c r="G30" s="14">
        <f>((Table1[[#This Row],[2024 '[YR2024']]] / Table1[[#This Row],[1990 '[YR1990']]]) ^ (1 / (2024 - 1990)) - 1) * 100</f>
        <v>1.7645530539493359</v>
      </c>
      <c r="H30">
        <v>255292</v>
      </c>
      <c r="I30">
        <v>326424</v>
      </c>
      <c r="J30">
        <v>422212</v>
      </c>
      <c r="K30">
        <v>427564</v>
      </c>
      <c r="L30">
        <v>432772</v>
      </c>
      <c r="M30">
        <v>437810</v>
      </c>
      <c r="N30">
        <v>442680</v>
      </c>
      <c r="O30">
        <v>447404</v>
      </c>
      <c r="P30">
        <v>451721</v>
      </c>
      <c r="Q30">
        <v>455370</v>
      </c>
      <c r="R30">
        <v>458949</v>
      </c>
      <c r="S30">
        <v>462721</v>
      </c>
    </row>
    <row r="31" spans="1:19" x14ac:dyDescent="0.35">
      <c r="A31" t="s">
        <v>16</v>
      </c>
      <c r="B31" t="s">
        <v>17</v>
      </c>
      <c r="C31" t="s">
        <v>75</v>
      </c>
      <c r="D31" t="s">
        <v>76</v>
      </c>
      <c r="E31" t="str">
        <f>VLOOKUP(C31, Continent!A:B, 2, FALSE)</f>
        <v>Europe</v>
      </c>
      <c r="F31" s="14">
        <f>((Table1[[#This Row],[2024 '[YR2024']]]-Table1[[#This Row],[1990 '[YR1990']]])/Table1[[#This Row],[1990 '[YR1990']]])*100</f>
        <v>-26.082216361490197</v>
      </c>
      <c r="G31" s="14">
        <f>((Table1[[#This Row],[2024 '[YR2024']]] / Table1[[#This Row],[1990 '[YR1990']]]) ^ (1 / (2024 - 1990)) - 1) * 100</f>
        <v>-0.88493397652712469</v>
      </c>
      <c r="H31">
        <v>8718289</v>
      </c>
      <c r="I31">
        <v>8170172</v>
      </c>
      <c r="J31">
        <v>6984225</v>
      </c>
      <c r="K31">
        <v>6894139</v>
      </c>
      <c r="L31">
        <v>6803468</v>
      </c>
      <c r="M31">
        <v>6710798</v>
      </c>
      <c r="N31">
        <v>6616726</v>
      </c>
      <c r="O31">
        <v>6550696</v>
      </c>
      <c r="P31">
        <v>6507301</v>
      </c>
      <c r="Q31">
        <v>6465097</v>
      </c>
      <c r="R31">
        <v>6446596</v>
      </c>
      <c r="S31">
        <v>6444366</v>
      </c>
    </row>
    <row r="32" spans="1:19" x14ac:dyDescent="0.35">
      <c r="A32" t="s">
        <v>16</v>
      </c>
      <c r="B32" t="s">
        <v>17</v>
      </c>
      <c r="C32" t="s">
        <v>77</v>
      </c>
      <c r="D32" t="s">
        <v>78</v>
      </c>
      <c r="E32" t="str">
        <f>VLOOKUP(C32, Continent!A:B, 2, FALSE)</f>
        <v>Africa</v>
      </c>
      <c r="F32" s="14">
        <f>((Table1[[#This Row],[2024 '[YR2024']]]-Table1[[#This Row],[1990 '[YR1990']]])/Table1[[#This Row],[1990 '[YR1990']]])*100</f>
        <v>157.10083765714532</v>
      </c>
      <c r="G32" s="14">
        <f>((Table1[[#This Row],[2024 '[YR2024']]] / Table1[[#This Row],[1990 '[YR1990']]]) ^ (1 / (2024 - 1990)) - 1) * 100</f>
        <v>2.8162754572393478</v>
      </c>
      <c r="H32">
        <v>9159356</v>
      </c>
      <c r="I32">
        <v>11925546</v>
      </c>
      <c r="J32">
        <v>18777487</v>
      </c>
      <c r="K32">
        <v>19334856</v>
      </c>
      <c r="L32">
        <v>19894407</v>
      </c>
      <c r="M32">
        <v>20438288</v>
      </c>
      <c r="N32">
        <v>20961952</v>
      </c>
      <c r="O32">
        <v>21478690</v>
      </c>
      <c r="P32">
        <v>21995243</v>
      </c>
      <c r="Q32">
        <v>22509038</v>
      </c>
      <c r="R32">
        <v>23025776</v>
      </c>
      <c r="S32">
        <v>23548781</v>
      </c>
    </row>
    <row r="33" spans="1:19" x14ac:dyDescent="0.35">
      <c r="A33" t="s">
        <v>16</v>
      </c>
      <c r="B33" t="s">
        <v>17</v>
      </c>
      <c r="C33" t="s">
        <v>79</v>
      </c>
      <c r="D33" t="s">
        <v>80</v>
      </c>
      <c r="E33" t="str">
        <f>VLOOKUP(C33, Continent!A:B, 2, FALSE)</f>
        <v>Africa</v>
      </c>
      <c r="F33" s="14">
        <f>((Table1[[#This Row],[2024 '[YR2024']]]-Table1[[#This Row],[1990 '[YR1990']]])/Table1[[#This Row],[1990 '[YR1990']]])*100</f>
        <v>151.43467431482648</v>
      </c>
      <c r="G33" s="14">
        <f>((Table1[[#This Row],[2024 '[YR2024']]] / Table1[[#This Row],[1990 '[YR1990']]]) ^ (1 / (2024 - 1990)) - 1) * 100</f>
        <v>2.7489070309040908</v>
      </c>
      <c r="H33">
        <v>5587052</v>
      </c>
      <c r="I33">
        <v>6470194</v>
      </c>
      <c r="J33">
        <v>11047580</v>
      </c>
      <c r="K33">
        <v>11239451</v>
      </c>
      <c r="L33">
        <v>11506762</v>
      </c>
      <c r="M33">
        <v>11859446</v>
      </c>
      <c r="N33">
        <v>12255336</v>
      </c>
      <c r="O33">
        <v>12617036</v>
      </c>
      <c r="P33">
        <v>12965481</v>
      </c>
      <c r="Q33">
        <v>13321097</v>
      </c>
      <c r="R33">
        <v>13689450</v>
      </c>
      <c r="S33">
        <v>14047786</v>
      </c>
    </row>
    <row r="34" spans="1:19" x14ac:dyDescent="0.35">
      <c r="A34" t="s">
        <v>16</v>
      </c>
      <c r="B34" t="s">
        <v>17</v>
      </c>
      <c r="C34" t="s">
        <v>81</v>
      </c>
      <c r="D34" t="s">
        <v>82</v>
      </c>
      <c r="E34" t="str">
        <f>VLOOKUP(C34, Continent!A:B, 2, FALSE)</f>
        <v>Africa</v>
      </c>
      <c r="F34" s="14">
        <f>((Table1[[#This Row],[2024 '[YR2024']]]-Table1[[#This Row],[1990 '[YR1990']]])/Table1[[#This Row],[1990 '[YR1990']]])*100</f>
        <v>39.807632888330119</v>
      </c>
      <c r="G34" s="14">
        <f>((Table1[[#This Row],[2024 '[YR2024']]] / Table1[[#This Row],[1990 '[YR1990']]]) ^ (1 / (2024 - 1990)) - 1) * 100</f>
        <v>0.99045295672246514</v>
      </c>
      <c r="H34">
        <v>375428</v>
      </c>
      <c r="I34">
        <v>453317</v>
      </c>
      <c r="J34">
        <v>512394</v>
      </c>
      <c r="K34">
        <v>512554</v>
      </c>
      <c r="L34">
        <v>512893</v>
      </c>
      <c r="M34">
        <v>513415</v>
      </c>
      <c r="N34">
        <v>514104</v>
      </c>
      <c r="O34">
        <v>514679</v>
      </c>
      <c r="P34">
        <v>516649</v>
      </c>
      <c r="Q34">
        <v>519741</v>
      </c>
      <c r="R34">
        <v>522331</v>
      </c>
      <c r="S34">
        <v>524877</v>
      </c>
    </row>
    <row r="35" spans="1:19" x14ac:dyDescent="0.35">
      <c r="A35" t="s">
        <v>16</v>
      </c>
      <c r="B35" t="s">
        <v>17</v>
      </c>
      <c r="C35" t="s">
        <v>83</v>
      </c>
      <c r="D35" t="s">
        <v>84</v>
      </c>
      <c r="E35" t="str">
        <f>VLOOKUP(C35, Continent!A:B, 2, FALSE)</f>
        <v>Asia</v>
      </c>
      <c r="F35" s="14">
        <f>((Table1[[#This Row],[2024 '[YR2024']]]-Table1[[#This Row],[1990 '[YR1990']]])/Table1[[#This Row],[1990 '[YR1990']]])*100</f>
        <v>139.17822592542771</v>
      </c>
      <c r="G35" s="14">
        <f>((Table1[[#This Row],[2024 '[YR2024']]] / Table1[[#This Row],[1990 '[YR1990']]]) ^ (1 / (2024 - 1990)) - 1) * 100</f>
        <v>2.5979945328681309</v>
      </c>
      <c r="H35">
        <v>7374752</v>
      </c>
      <c r="I35">
        <v>12462336</v>
      </c>
      <c r="J35">
        <v>15623251</v>
      </c>
      <c r="K35">
        <v>15852803</v>
      </c>
      <c r="L35">
        <v>16073372</v>
      </c>
      <c r="M35">
        <v>16274522</v>
      </c>
      <c r="N35">
        <v>16481304</v>
      </c>
      <c r="O35">
        <v>16725474</v>
      </c>
      <c r="P35">
        <v>16974305</v>
      </c>
      <c r="Q35">
        <v>17201724</v>
      </c>
      <c r="R35">
        <v>17423880</v>
      </c>
      <c r="S35">
        <v>17638801</v>
      </c>
    </row>
    <row r="36" spans="1:19" x14ac:dyDescent="0.35">
      <c r="A36" t="s">
        <v>16</v>
      </c>
      <c r="B36" t="s">
        <v>17</v>
      </c>
      <c r="C36" t="s">
        <v>85</v>
      </c>
      <c r="D36" t="s">
        <v>86</v>
      </c>
      <c r="E36" t="str">
        <f>VLOOKUP(C36, Continent!A:B, 2, FALSE)</f>
        <v>Africa</v>
      </c>
      <c r="F36" s="14">
        <f>((Table1[[#This Row],[2024 '[YR2024']]]-Table1[[#This Row],[1990 '[YR1990']]])/Table1[[#This Row],[1990 '[YR1990']]])*100</f>
        <v>157.00850728228056</v>
      </c>
      <c r="G36" s="14">
        <f>((Table1[[#This Row],[2024 '[YR2024']]] / Table1[[#This Row],[1990 '[YR1990']]]) ^ (1 / (2024 - 1990)) - 1) * 100</f>
        <v>2.8151892823523816</v>
      </c>
      <c r="H36">
        <v>11331821</v>
      </c>
      <c r="I36">
        <v>14912631</v>
      </c>
      <c r="J36">
        <v>22763414</v>
      </c>
      <c r="K36">
        <v>23454161</v>
      </c>
      <c r="L36">
        <v>24128601</v>
      </c>
      <c r="M36">
        <v>24806383</v>
      </c>
      <c r="N36">
        <v>25506095</v>
      </c>
      <c r="O36">
        <v>26210558</v>
      </c>
      <c r="P36">
        <v>26915758</v>
      </c>
      <c r="Q36">
        <v>27632771</v>
      </c>
      <c r="R36">
        <v>28372687</v>
      </c>
      <c r="S36">
        <v>29123744</v>
      </c>
    </row>
    <row r="37" spans="1:19" x14ac:dyDescent="0.35">
      <c r="A37" t="s">
        <v>16</v>
      </c>
      <c r="B37" t="s">
        <v>17</v>
      </c>
      <c r="C37" t="s">
        <v>87</v>
      </c>
      <c r="D37" t="s">
        <v>88</v>
      </c>
      <c r="E37" t="str">
        <f>VLOOKUP(C37, Continent!A:B, 2, FALSE)</f>
        <v>North America</v>
      </c>
      <c r="F37" s="14">
        <f>((Table1[[#This Row],[2024 '[YR2024']]]-Table1[[#This Row],[1990 '[YR1990']]])/Table1[[#This Row],[1990 '[YR1990']]])*100</f>
        <v>49.104016599101129</v>
      </c>
      <c r="G37" s="14">
        <f>((Table1[[#This Row],[2024 '[YR2024']]] / Table1[[#This Row],[1990 '[YR1990']]]) ^ (1 / (2024 - 1990)) - 1) * 100</f>
        <v>1.1818527912198951</v>
      </c>
      <c r="H37">
        <v>27691138</v>
      </c>
      <c r="I37">
        <v>30685730</v>
      </c>
      <c r="J37">
        <v>35704498</v>
      </c>
      <c r="K37">
        <v>36110803</v>
      </c>
      <c r="L37">
        <v>36545075</v>
      </c>
      <c r="M37">
        <v>37072620</v>
      </c>
      <c r="N37">
        <v>37618495</v>
      </c>
      <c r="O37">
        <v>38028638</v>
      </c>
      <c r="P37">
        <v>38239864</v>
      </c>
      <c r="Q37">
        <v>38935934</v>
      </c>
      <c r="R37">
        <v>40083484</v>
      </c>
      <c r="S37">
        <v>41288599</v>
      </c>
    </row>
    <row r="38" spans="1:19" x14ac:dyDescent="0.35">
      <c r="A38" t="s">
        <v>16</v>
      </c>
      <c r="B38" t="s">
        <v>17</v>
      </c>
      <c r="C38" t="s">
        <v>89</v>
      </c>
      <c r="D38" t="s">
        <v>90</v>
      </c>
      <c r="E38" t="str">
        <f>VLOOKUP(C38, Continent!A:B, 2, FALSE)</f>
        <v>North America</v>
      </c>
      <c r="F38" s="14">
        <f>((Table1[[#This Row],[2024 '[YR2024']]]-Table1[[#This Row],[1990 '[YR1990']]])/Table1[[#This Row],[1990 '[YR1990']]])*100</f>
        <v>186.38409169583446</v>
      </c>
      <c r="G38" s="14">
        <f>((Table1[[#This Row],[2024 '[YR2024']]] / Table1[[#This Row],[1990 '[YR1990']]]) ^ (1 / (2024 - 1990)) - 1) * 100</f>
        <v>3.1429796126973164</v>
      </c>
      <c r="H38">
        <v>25999</v>
      </c>
      <c r="I38">
        <v>39674</v>
      </c>
      <c r="J38">
        <v>61642</v>
      </c>
      <c r="K38">
        <v>63100</v>
      </c>
      <c r="L38">
        <v>64535</v>
      </c>
      <c r="M38">
        <v>65941</v>
      </c>
      <c r="N38">
        <v>67327</v>
      </c>
      <c r="O38">
        <v>68684</v>
      </c>
      <c r="P38">
        <v>70108</v>
      </c>
      <c r="Q38">
        <v>71591</v>
      </c>
      <c r="R38">
        <v>73038</v>
      </c>
      <c r="S38">
        <v>74457</v>
      </c>
    </row>
    <row r="39" spans="1:19" x14ac:dyDescent="0.35">
      <c r="A39" t="s">
        <v>16</v>
      </c>
      <c r="B39" t="s">
        <v>17</v>
      </c>
      <c r="C39" t="s">
        <v>91</v>
      </c>
      <c r="D39" t="s">
        <v>92</v>
      </c>
      <c r="E39" t="str">
        <f>VLOOKUP(C39, Continent!A:B, 2, FALSE)</f>
        <v>Africa</v>
      </c>
      <c r="F39" s="14">
        <f>((Table1[[#This Row],[2024 '[YR2024']]]-Table1[[#This Row],[1990 '[YR1990']]])/Table1[[#This Row],[1990 '[YR1990']]])*100</f>
        <v>85.614799906682322</v>
      </c>
      <c r="G39" s="14">
        <f>((Table1[[#This Row],[2024 '[YR2024']]] / Table1[[#This Row],[1990 '[YR1990']]]) ^ (1 / (2024 - 1990)) - 1) * 100</f>
        <v>1.8357744800385767</v>
      </c>
      <c r="H39">
        <v>2871910</v>
      </c>
      <c r="I39">
        <v>3833416</v>
      </c>
      <c r="J39">
        <v>4629320</v>
      </c>
      <c r="K39">
        <v>4713663</v>
      </c>
      <c r="L39">
        <v>4793511</v>
      </c>
      <c r="M39">
        <v>4878657</v>
      </c>
      <c r="N39">
        <v>4944703</v>
      </c>
      <c r="O39">
        <v>5026628</v>
      </c>
      <c r="P39">
        <v>5112100</v>
      </c>
      <c r="Q39">
        <v>5098039</v>
      </c>
      <c r="R39">
        <v>5152421</v>
      </c>
      <c r="S39">
        <v>5330690</v>
      </c>
    </row>
    <row r="40" spans="1:19" x14ac:dyDescent="0.35">
      <c r="A40" t="s">
        <v>16</v>
      </c>
      <c r="B40" t="s">
        <v>17</v>
      </c>
      <c r="C40" t="s">
        <v>93</v>
      </c>
      <c r="D40" t="s">
        <v>94</v>
      </c>
      <c r="E40" t="str">
        <f>VLOOKUP(C40, Continent!A:B, 2, FALSE)</f>
        <v>Africa</v>
      </c>
      <c r="F40" s="14">
        <f>((Table1[[#This Row],[2024 '[YR2024']]]-Table1[[#This Row],[1990 '[YR1990']]])/Table1[[#This Row],[1990 '[YR1990']]])*100</f>
        <v>239.28948041839041</v>
      </c>
      <c r="G40" s="14">
        <f>((Table1[[#This Row],[2024 '[YR2024']]] / Table1[[#This Row],[1990 '[YR1990']]]) ^ (1 / (2024 - 1990)) - 1) * 100</f>
        <v>3.6585218532269481</v>
      </c>
      <c r="H40">
        <v>5982833</v>
      </c>
      <c r="I40">
        <v>8512093</v>
      </c>
      <c r="J40">
        <v>14647621</v>
      </c>
      <c r="K40">
        <v>15114655</v>
      </c>
      <c r="L40">
        <v>15622759</v>
      </c>
      <c r="M40">
        <v>16156531</v>
      </c>
      <c r="N40">
        <v>16685223</v>
      </c>
      <c r="O40">
        <v>17224679</v>
      </c>
      <c r="P40">
        <v>17828273</v>
      </c>
      <c r="Q40">
        <v>18455316</v>
      </c>
      <c r="R40">
        <v>19319064</v>
      </c>
      <c r="S40">
        <v>20299123</v>
      </c>
    </row>
    <row r="41" spans="1:19" x14ac:dyDescent="0.35">
      <c r="A41" t="s">
        <v>16</v>
      </c>
      <c r="B41" t="s">
        <v>17</v>
      </c>
      <c r="C41" t="s">
        <v>95</v>
      </c>
      <c r="D41" t="s">
        <v>96</v>
      </c>
      <c r="E41" t="str">
        <f>VLOOKUP(C41, Continent!A:B, 2, FALSE)</f>
        <v>Europe</v>
      </c>
      <c r="F41" s="14">
        <f>((Table1[[#This Row],[2024 '[YR2024']]]-Table1[[#This Row],[1990 '[YR1990']]])/Table1[[#This Row],[1990 '[YR1990']]])*100</f>
        <v>17.499143877501101</v>
      </c>
      <c r="G41" s="14">
        <f>((Table1[[#This Row],[2024 '[YR2024']]] / Table1[[#This Row],[1990 '[YR1990']]]) ^ (1 / (2024 - 1990)) - 1) * 100</f>
        <v>0.47542321818967448</v>
      </c>
      <c r="H41">
        <v>143087</v>
      </c>
      <c r="I41">
        <v>148110</v>
      </c>
      <c r="J41">
        <v>163454</v>
      </c>
      <c r="K41">
        <v>163883</v>
      </c>
      <c r="L41">
        <v>164319</v>
      </c>
      <c r="M41">
        <v>164949</v>
      </c>
      <c r="N41">
        <v>165639</v>
      </c>
      <c r="O41">
        <v>166235</v>
      </c>
      <c r="P41">
        <v>166741</v>
      </c>
      <c r="Q41">
        <v>167215</v>
      </c>
      <c r="R41">
        <v>167691</v>
      </c>
      <c r="S41">
        <v>168126</v>
      </c>
    </row>
    <row r="42" spans="1:19" x14ac:dyDescent="0.35">
      <c r="A42" t="s">
        <v>16</v>
      </c>
      <c r="B42" t="s">
        <v>17</v>
      </c>
      <c r="C42" t="s">
        <v>97</v>
      </c>
      <c r="D42" t="s">
        <v>98</v>
      </c>
      <c r="E42" t="str">
        <f>VLOOKUP(C42, Continent!A:B, 2, FALSE)</f>
        <v>South America</v>
      </c>
      <c r="F42" s="14">
        <f>((Table1[[#This Row],[2024 '[YR2024']]]-Table1[[#This Row],[1990 '[YR1990']]])/Table1[[#This Row],[1990 '[YR1990']]])*100</f>
        <v>47.090214491497321</v>
      </c>
      <c r="G42" s="14">
        <f>((Table1[[#This Row],[2024 '[YR2024']]] / Table1[[#This Row],[1990 '[YR1990']]]) ^ (1 / (2024 - 1990)) - 1) * 100</f>
        <v>1.1413939211086355</v>
      </c>
      <c r="H42">
        <v>13437176</v>
      </c>
      <c r="I42">
        <v>15503635</v>
      </c>
      <c r="J42">
        <v>18047625</v>
      </c>
      <c r="K42">
        <v>18267221</v>
      </c>
      <c r="L42">
        <v>18558868</v>
      </c>
      <c r="M42">
        <v>18893191</v>
      </c>
      <c r="N42">
        <v>19197744</v>
      </c>
      <c r="O42">
        <v>19370624</v>
      </c>
      <c r="P42">
        <v>19456334</v>
      </c>
      <c r="Q42">
        <v>19553036</v>
      </c>
      <c r="R42">
        <v>19658835</v>
      </c>
      <c r="S42">
        <v>19764771</v>
      </c>
    </row>
    <row r="43" spans="1:19" x14ac:dyDescent="0.35">
      <c r="A43" t="s">
        <v>16</v>
      </c>
      <c r="B43" t="s">
        <v>17</v>
      </c>
      <c r="C43" t="s">
        <v>99</v>
      </c>
      <c r="D43" t="s">
        <v>100</v>
      </c>
      <c r="E43" t="str">
        <f>VLOOKUP(C43, Continent!A:B, 2, FALSE)</f>
        <v>Asia</v>
      </c>
      <c r="F43" s="14">
        <f>((Table1[[#This Row],[2024 '[YR2024']]]-Table1[[#This Row],[1990 '[YR1990']]])/Table1[[#This Row],[1990 '[YR1990']]])*100</f>
        <v>24.118535745275</v>
      </c>
      <c r="G43" s="14">
        <f>((Table1[[#This Row],[2024 '[YR2024']]] / Table1[[#This Row],[1990 '[YR1990']]]) ^ (1 / (2024 - 1990)) - 1) * 100</f>
        <v>0.6375142808793921</v>
      </c>
      <c r="H43">
        <v>1135185000</v>
      </c>
      <c r="I43">
        <v>1262645000</v>
      </c>
      <c r="J43">
        <v>1379860000</v>
      </c>
      <c r="K43">
        <v>1387790000</v>
      </c>
      <c r="L43">
        <v>1396215000</v>
      </c>
      <c r="M43">
        <v>1402760000</v>
      </c>
      <c r="N43">
        <v>1407745000</v>
      </c>
      <c r="O43">
        <v>1411100000</v>
      </c>
      <c r="P43">
        <v>1412360000</v>
      </c>
      <c r="Q43">
        <v>1412175000</v>
      </c>
      <c r="R43">
        <v>1410710000</v>
      </c>
      <c r="S43">
        <v>1408975000</v>
      </c>
    </row>
    <row r="44" spans="1:19" x14ac:dyDescent="0.35">
      <c r="A44" t="s">
        <v>16</v>
      </c>
      <c r="B44" t="s">
        <v>17</v>
      </c>
      <c r="C44" t="s">
        <v>101</v>
      </c>
      <c r="D44" t="s">
        <v>102</v>
      </c>
      <c r="E44" t="str">
        <f>VLOOKUP(C44, Continent!A:B, 2, FALSE)</f>
        <v>South America</v>
      </c>
      <c r="F44" s="14">
        <f>((Table1[[#This Row],[2024 '[YR2024']]]-Table1[[#This Row],[1990 '[YR1990']]])/Table1[[#This Row],[1990 '[YR1990']]])*100</f>
        <v>63.027899231657003</v>
      </c>
      <c r="G44" s="14">
        <f>((Table1[[#This Row],[2024 '[YR2024']]] / Table1[[#This Row],[1990 '[YR1990']]]) ^ (1 / (2024 - 1990)) - 1) * 100</f>
        <v>1.4478851817839367</v>
      </c>
      <c r="H44">
        <v>32440069</v>
      </c>
      <c r="I44">
        <v>39089934</v>
      </c>
      <c r="J44">
        <v>46969940</v>
      </c>
      <c r="K44">
        <v>47437512</v>
      </c>
      <c r="L44">
        <v>48131078</v>
      </c>
      <c r="M44">
        <v>49024465</v>
      </c>
      <c r="N44">
        <v>49907985</v>
      </c>
      <c r="O44">
        <v>50629997</v>
      </c>
      <c r="P44">
        <v>51188173</v>
      </c>
      <c r="Q44">
        <v>51737944</v>
      </c>
      <c r="R44">
        <v>52321152</v>
      </c>
      <c r="S44">
        <v>52886363</v>
      </c>
    </row>
    <row r="45" spans="1:19" x14ac:dyDescent="0.35">
      <c r="A45" t="s">
        <v>16</v>
      </c>
      <c r="B45" t="s">
        <v>17</v>
      </c>
      <c r="C45" t="s">
        <v>103</v>
      </c>
      <c r="D45" t="s">
        <v>104</v>
      </c>
      <c r="E45" t="str">
        <f>VLOOKUP(C45, Continent!A:B, 2, FALSE)</f>
        <v>Africa</v>
      </c>
      <c r="F45" s="14">
        <f>((Table1[[#This Row],[2024 '[YR2024']]]-Table1[[#This Row],[1990 '[YR1990']]])/Table1[[#This Row],[1990 '[YR1990']]])*100</f>
        <v>94.924830632754237</v>
      </c>
      <c r="G45" s="14">
        <f>((Table1[[#This Row],[2024 '[YR2024']]] / Table1[[#This Row],[1990 '[YR1990']]]) ^ (1 / (2024 - 1990)) - 1) * 100</f>
        <v>1.9824649661737359</v>
      </c>
      <c r="H45">
        <v>444596</v>
      </c>
      <c r="I45">
        <v>536080</v>
      </c>
      <c r="J45">
        <v>726682</v>
      </c>
      <c r="K45">
        <v>741741</v>
      </c>
      <c r="L45">
        <v>756669</v>
      </c>
      <c r="M45">
        <v>771590</v>
      </c>
      <c r="N45">
        <v>786578</v>
      </c>
      <c r="O45">
        <v>802163</v>
      </c>
      <c r="P45">
        <v>818174</v>
      </c>
      <c r="Q45">
        <v>834188</v>
      </c>
      <c r="R45">
        <v>850387</v>
      </c>
      <c r="S45">
        <v>866628</v>
      </c>
    </row>
    <row r="46" spans="1:19" x14ac:dyDescent="0.35">
      <c r="A46" t="s">
        <v>16</v>
      </c>
      <c r="B46" t="s">
        <v>17</v>
      </c>
      <c r="C46" t="s">
        <v>105</v>
      </c>
      <c r="D46" t="s">
        <v>106</v>
      </c>
      <c r="E46" t="str">
        <f>VLOOKUP(C46, Continent!A:B, 2, FALSE)</f>
        <v>Africa</v>
      </c>
      <c r="F46" s="14">
        <f>((Table1[[#This Row],[2024 '[YR2024']]]-Table1[[#This Row],[1990 '[YR1990']]])/Table1[[#This Row],[1990 '[YR1990']]])*100</f>
        <v>197.88484716101377</v>
      </c>
      <c r="G46" s="14">
        <f>((Table1[[#This Row],[2024 '[YR2024']]] / Table1[[#This Row],[1990 '[YR1990']]]) ^ (1 / (2024 - 1990)) - 1) * 100</f>
        <v>3.2624917216808047</v>
      </c>
      <c r="H46">
        <v>36684063</v>
      </c>
      <c r="I46">
        <v>50507442</v>
      </c>
      <c r="J46">
        <v>81035531</v>
      </c>
      <c r="K46">
        <v>83956415</v>
      </c>
      <c r="L46">
        <v>87083398</v>
      </c>
      <c r="M46">
        <v>90047644</v>
      </c>
      <c r="N46">
        <v>92947442</v>
      </c>
      <c r="O46">
        <v>95989998</v>
      </c>
      <c r="P46">
        <v>99148932</v>
      </c>
      <c r="Q46">
        <v>102396968</v>
      </c>
      <c r="R46">
        <v>105789731</v>
      </c>
      <c r="S46">
        <v>109276265</v>
      </c>
    </row>
    <row r="47" spans="1:19" x14ac:dyDescent="0.35">
      <c r="A47" t="s">
        <v>16</v>
      </c>
      <c r="B47" t="s">
        <v>17</v>
      </c>
      <c r="C47" t="s">
        <v>107</v>
      </c>
      <c r="D47" t="s">
        <v>108</v>
      </c>
      <c r="E47" t="str">
        <f>VLOOKUP(C47, Continent!A:B, 2, FALSE)</f>
        <v>Africa</v>
      </c>
      <c r="F47" s="14">
        <f>((Table1[[#This Row],[2024 '[YR2024']]]-Table1[[#This Row],[1990 '[YR1990']]])/Table1[[#This Row],[1990 '[YR1990']]])*100</f>
        <v>166.02820344792821</v>
      </c>
      <c r="G47" s="14">
        <f>((Table1[[#This Row],[2024 '[YR2024']]] / Table1[[#This Row],[1990 '[YR1990']]]) ^ (1 / (2024 - 1990)) - 1) * 100</f>
        <v>2.9195486565521733</v>
      </c>
      <c r="H47">
        <v>2380560</v>
      </c>
      <c r="I47">
        <v>3151345</v>
      </c>
      <c r="J47">
        <v>5097581</v>
      </c>
      <c r="K47">
        <v>5222536</v>
      </c>
      <c r="L47">
        <v>5351011</v>
      </c>
      <c r="M47">
        <v>5483118</v>
      </c>
      <c r="N47">
        <v>5616661</v>
      </c>
      <c r="O47">
        <v>5752791</v>
      </c>
      <c r="P47">
        <v>5892183</v>
      </c>
      <c r="Q47">
        <v>6035104</v>
      </c>
      <c r="R47">
        <v>6182885</v>
      </c>
      <c r="S47">
        <v>6332961</v>
      </c>
    </row>
    <row r="48" spans="1:19" x14ac:dyDescent="0.35">
      <c r="A48" t="s">
        <v>16</v>
      </c>
      <c r="B48" t="s">
        <v>17</v>
      </c>
      <c r="C48" t="s">
        <v>109</v>
      </c>
      <c r="D48" t="s">
        <v>110</v>
      </c>
      <c r="E48" t="str">
        <f>VLOOKUP(C48, Continent!A:B, 2, FALSE)</f>
        <v>North America</v>
      </c>
      <c r="F48" s="14">
        <f>((Table1[[#This Row],[2024 '[YR2024']]]-Table1[[#This Row],[1990 '[YR1990']]])/Table1[[#This Row],[1990 '[YR1990']]])*100</f>
        <v>64.330337321964336</v>
      </c>
      <c r="G48" s="14">
        <f>((Table1[[#This Row],[2024 '[YR2024']]] / Table1[[#This Row],[1990 '[YR1990']]]) ^ (1 / (2024 - 1990)) - 1) * 100</f>
        <v>1.4716306646982646</v>
      </c>
      <c r="H48">
        <v>3121706</v>
      </c>
      <c r="I48">
        <v>3937739</v>
      </c>
      <c r="J48">
        <v>4818038</v>
      </c>
      <c r="K48">
        <v>4866998</v>
      </c>
      <c r="L48">
        <v>4913177</v>
      </c>
      <c r="M48">
        <v>4957818</v>
      </c>
      <c r="N48">
        <v>4999553</v>
      </c>
      <c r="O48">
        <v>5034320</v>
      </c>
      <c r="P48">
        <v>5059988</v>
      </c>
      <c r="Q48">
        <v>5081765</v>
      </c>
      <c r="R48">
        <v>5105525</v>
      </c>
      <c r="S48">
        <v>5129910</v>
      </c>
    </row>
    <row r="49" spans="1:19" x14ac:dyDescent="0.35">
      <c r="A49" t="s">
        <v>16</v>
      </c>
      <c r="B49" t="s">
        <v>17</v>
      </c>
      <c r="C49" s="9" t="s">
        <v>553</v>
      </c>
      <c r="D49" t="s">
        <v>111</v>
      </c>
      <c r="E49" t="str">
        <f>VLOOKUP(C49, Continent!A:B, 2, FALSE)</f>
        <v>Africa</v>
      </c>
      <c r="F49" s="14">
        <f>((Table1[[#This Row],[2024 '[YR2024']]]-Table1[[#This Row],[1990 '[YR1990']]])/Table1[[#This Row],[1990 '[YR1990']]])*100</f>
        <v>161.97548470529981</v>
      </c>
      <c r="G49" s="14">
        <f>((Table1[[#This Row],[2024 '[YR2024']]] / Table1[[#This Row],[1990 '[YR1990']]]) ^ (1 / (2024 - 1990)) - 1) * 100</f>
        <v>2.8730897538186806</v>
      </c>
      <c r="H49">
        <v>12189778</v>
      </c>
      <c r="I49">
        <v>17699004</v>
      </c>
      <c r="J49">
        <v>25246342</v>
      </c>
      <c r="K49">
        <v>25989405</v>
      </c>
      <c r="L49">
        <v>26733372</v>
      </c>
      <c r="M49">
        <v>27464173</v>
      </c>
      <c r="N49">
        <v>28193009</v>
      </c>
      <c r="O49">
        <v>28915449</v>
      </c>
      <c r="P49">
        <v>29639736</v>
      </c>
      <c r="Q49">
        <v>30395002</v>
      </c>
      <c r="R49">
        <v>31165654</v>
      </c>
      <c r="S49">
        <v>31934230</v>
      </c>
    </row>
    <row r="50" spans="1:19" x14ac:dyDescent="0.35">
      <c r="A50" t="s">
        <v>16</v>
      </c>
      <c r="B50" t="s">
        <v>17</v>
      </c>
      <c r="C50" t="s">
        <v>112</v>
      </c>
      <c r="D50" t="s">
        <v>113</v>
      </c>
      <c r="E50" t="str">
        <f>VLOOKUP(C50, Continent!A:B, 2, FALSE)</f>
        <v>Europe</v>
      </c>
      <c r="F50" s="14">
        <f>((Table1[[#This Row],[2024 '[YR2024']]]-Table1[[#This Row],[1990 '[YR1990']]])/Table1[[#This Row],[1990 '[YR1990']]])*100</f>
        <v>-19.070500744342912</v>
      </c>
      <c r="G50" s="14">
        <f>((Table1[[#This Row],[2024 '[YR2024']]] / Table1[[#This Row],[1990 '[YR1990']]]) ^ (1 / (2024 - 1990)) - 1) * 100</f>
        <v>-0.62039633893330448</v>
      </c>
      <c r="H50">
        <v>4777368</v>
      </c>
      <c r="I50">
        <v>4468302</v>
      </c>
      <c r="J50">
        <v>4151725</v>
      </c>
      <c r="K50">
        <v>4106867</v>
      </c>
      <c r="L50">
        <v>4041407</v>
      </c>
      <c r="M50">
        <v>3988775</v>
      </c>
      <c r="N50">
        <v>3949390</v>
      </c>
      <c r="O50">
        <v>3914206</v>
      </c>
      <c r="P50">
        <v>3878981</v>
      </c>
      <c r="Q50">
        <v>3855641</v>
      </c>
      <c r="R50">
        <v>3859686</v>
      </c>
      <c r="S50">
        <v>3866300</v>
      </c>
    </row>
    <row r="51" spans="1:19" x14ac:dyDescent="0.35">
      <c r="A51" t="s">
        <v>16</v>
      </c>
      <c r="B51" t="s">
        <v>17</v>
      </c>
      <c r="C51" t="s">
        <v>114</v>
      </c>
      <c r="D51" t="s">
        <v>115</v>
      </c>
      <c r="E51" t="str">
        <f>VLOOKUP(C51, Continent!A:B, 2, FALSE)</f>
        <v>North America</v>
      </c>
      <c r="F51" s="14">
        <f>((Table1[[#This Row],[2024 '[YR2024']]]-Table1[[#This Row],[1990 '[YR1990']]])/Table1[[#This Row],[1990 '[YR1990']]])*100</f>
        <v>3.2730490860483727</v>
      </c>
      <c r="G51" s="14">
        <f>((Table1[[#This Row],[2024 '[YR2024']]] / Table1[[#This Row],[1990 '[YR1990']]]) ^ (1 / (2024 - 1990)) - 1) * 100</f>
        <v>9.4769161853980322E-2</v>
      </c>
      <c r="H51">
        <v>10631799</v>
      </c>
      <c r="I51">
        <v>11109109</v>
      </c>
      <c r="J51">
        <v>11275065</v>
      </c>
      <c r="K51">
        <v>11265612</v>
      </c>
      <c r="L51">
        <v>11247829</v>
      </c>
      <c r="M51">
        <v>11227118</v>
      </c>
      <c r="N51">
        <v>11202846</v>
      </c>
      <c r="O51">
        <v>11176354</v>
      </c>
      <c r="P51">
        <v>11122168</v>
      </c>
      <c r="Q51">
        <v>11059820</v>
      </c>
      <c r="R51">
        <v>11019931</v>
      </c>
      <c r="S51">
        <v>10979783</v>
      </c>
    </row>
    <row r="52" spans="1:19" x14ac:dyDescent="0.35">
      <c r="A52" t="s">
        <v>16</v>
      </c>
      <c r="B52" t="s">
        <v>17</v>
      </c>
      <c r="C52" t="s">
        <v>116</v>
      </c>
      <c r="D52" t="s">
        <v>117</v>
      </c>
      <c r="E52" t="str">
        <f>VLOOKUP(C52, Continent!A:B, 2, FALSE)</f>
        <v>North America</v>
      </c>
      <c r="F52" s="14">
        <f>((Table1[[#This Row],[2024 '[YR2024']]]-Table1[[#This Row],[1990 '[YR1990']]])/Table1[[#This Row],[1990 '[YR1990']]])*100</f>
        <v>7.2214580467675384</v>
      </c>
      <c r="G52" s="14">
        <f>((Table1[[#This Row],[2024 '[YR2024']]] / Table1[[#This Row],[1990 '[YR1990']]]) ^ (1 / (2024 - 1990)) - 1) * 100</f>
        <v>0.20528751795911848</v>
      </c>
      <c r="H52">
        <v>145400</v>
      </c>
      <c r="I52">
        <v>133860</v>
      </c>
      <c r="J52">
        <v>157980</v>
      </c>
      <c r="K52">
        <v>159664</v>
      </c>
      <c r="L52">
        <v>160175</v>
      </c>
      <c r="M52">
        <v>159336</v>
      </c>
      <c r="N52">
        <v>157441</v>
      </c>
      <c r="O52">
        <v>154947</v>
      </c>
      <c r="P52">
        <v>152369</v>
      </c>
      <c r="Q52">
        <v>149996</v>
      </c>
      <c r="R52">
        <v>155800</v>
      </c>
      <c r="S52">
        <v>155900</v>
      </c>
    </row>
    <row r="53" spans="1:19" x14ac:dyDescent="0.35">
      <c r="A53" t="s">
        <v>16</v>
      </c>
      <c r="B53" t="s">
        <v>17</v>
      </c>
      <c r="C53" t="s">
        <v>118</v>
      </c>
      <c r="D53" t="s">
        <v>119</v>
      </c>
      <c r="E53" t="str">
        <f>VLOOKUP(C53, Continent!A:B, 2, FALSE)</f>
        <v>Asia</v>
      </c>
      <c r="F53" s="14">
        <f>((Table1[[#This Row],[2024 '[YR2024']]]-Table1[[#This Row],[1990 '[YR1990']]])/Table1[[#This Row],[1990 '[YR1990']]])*100</f>
        <v>72.29406698285409</v>
      </c>
      <c r="G53" s="14">
        <f>((Table1[[#This Row],[2024 '[YR2024']]] / Table1[[#This Row],[1990 '[YR1990']]]) ^ (1 / (2024 - 1990)) - 1) * 100</f>
        <v>1.6129657385257179</v>
      </c>
      <c r="H53">
        <v>788351</v>
      </c>
      <c r="I53">
        <v>947667</v>
      </c>
      <c r="J53">
        <v>1219502</v>
      </c>
      <c r="K53">
        <v>1237112</v>
      </c>
      <c r="L53">
        <v>1254275</v>
      </c>
      <c r="M53">
        <v>1270737</v>
      </c>
      <c r="N53">
        <v>1286671</v>
      </c>
      <c r="O53">
        <v>1302247</v>
      </c>
      <c r="P53">
        <v>1317309</v>
      </c>
      <c r="Q53">
        <v>1331370</v>
      </c>
      <c r="R53">
        <v>1344976</v>
      </c>
      <c r="S53">
        <v>1358282</v>
      </c>
    </row>
    <row r="54" spans="1:19" x14ac:dyDescent="0.35">
      <c r="A54" t="s">
        <v>16</v>
      </c>
      <c r="B54" t="s">
        <v>17</v>
      </c>
      <c r="C54" t="s">
        <v>120</v>
      </c>
      <c r="D54" t="s">
        <v>121</v>
      </c>
      <c r="E54" t="str">
        <f>VLOOKUP(C54, Continent!A:B, 2, FALSE)</f>
        <v>Europe</v>
      </c>
      <c r="F54" s="14">
        <f>((Table1[[#This Row],[2024 '[YR2024']]]-Table1[[#This Row],[1990 '[YR1990']]])/Table1[[#This Row],[1990 '[YR1990']]])*100</f>
        <v>5.3110437026503012</v>
      </c>
      <c r="G54" s="14">
        <f>((Table1[[#This Row],[2024 '[YR2024']]] / Table1[[#This Row],[1990 '[YR1990']]]) ^ (1 / (2024 - 1990)) - 1) * 100</f>
        <v>0.15231619557745102</v>
      </c>
      <c r="H54">
        <v>10333355</v>
      </c>
      <c r="I54">
        <v>10255063</v>
      </c>
      <c r="J54">
        <v>10546059</v>
      </c>
      <c r="K54">
        <v>10566332</v>
      </c>
      <c r="L54">
        <v>10594438</v>
      </c>
      <c r="M54">
        <v>10629928</v>
      </c>
      <c r="N54">
        <v>10671870</v>
      </c>
      <c r="O54">
        <v>10697858</v>
      </c>
      <c r="P54">
        <v>10505772</v>
      </c>
      <c r="Q54">
        <v>10672118</v>
      </c>
      <c r="R54">
        <v>10864042</v>
      </c>
      <c r="S54">
        <v>10882164</v>
      </c>
    </row>
    <row r="55" spans="1:19" x14ac:dyDescent="0.35">
      <c r="A55" t="s">
        <v>16</v>
      </c>
      <c r="B55" t="s">
        <v>17</v>
      </c>
      <c r="C55" t="s">
        <v>122</v>
      </c>
      <c r="D55" t="s">
        <v>123</v>
      </c>
      <c r="E55" t="str">
        <f>VLOOKUP(C55, Continent!A:B, 2, FALSE)</f>
        <v>Europe</v>
      </c>
      <c r="F55" s="14">
        <f>((Table1[[#This Row],[2024 '[YR2024']]]-Table1[[#This Row],[1990 '[YR1990']]])/Table1[[#This Row],[1990 '[YR1990']]])*100</f>
        <v>16.262651628428195</v>
      </c>
      <c r="G55" s="14">
        <f>((Table1[[#This Row],[2024 '[YR2024']]] / Table1[[#This Row],[1990 '[YR1990']]]) ^ (1 / (2024 - 1990)) - 1) * 100</f>
        <v>0.44416492408216879</v>
      </c>
      <c r="H55">
        <v>5140939</v>
      </c>
      <c r="I55">
        <v>5339616</v>
      </c>
      <c r="J55">
        <v>5683483</v>
      </c>
      <c r="K55">
        <v>5728010</v>
      </c>
      <c r="L55">
        <v>5764980</v>
      </c>
      <c r="M55">
        <v>5793636</v>
      </c>
      <c r="N55">
        <v>5814422</v>
      </c>
      <c r="O55">
        <v>5831404</v>
      </c>
      <c r="P55">
        <v>5856733</v>
      </c>
      <c r="Q55">
        <v>5903037</v>
      </c>
      <c r="R55">
        <v>5946952</v>
      </c>
      <c r="S55">
        <v>5976992</v>
      </c>
    </row>
    <row r="56" spans="1:19" x14ac:dyDescent="0.35">
      <c r="A56" t="s">
        <v>16</v>
      </c>
      <c r="B56" t="s">
        <v>17</v>
      </c>
      <c r="C56" t="s">
        <v>124</v>
      </c>
      <c r="D56" t="s">
        <v>125</v>
      </c>
      <c r="E56" t="str">
        <f>VLOOKUP(C56, Continent!A:B, 2, FALSE)</f>
        <v>Africa</v>
      </c>
      <c r="F56" s="14">
        <f>((Table1[[#This Row],[2024 '[YR2024']]]-Table1[[#This Row],[1990 '[YR1990']]])/Table1[[#This Row],[1990 '[YR1990']]])*100</f>
        <v>101.66442925226646</v>
      </c>
      <c r="G56" s="14">
        <f>((Table1[[#This Row],[2024 '[YR2024']]] / Table1[[#This Row],[1990 '[YR1990']]]) ^ (1 / (2024 - 1990)) - 1) * 100</f>
        <v>2.0844716403144448</v>
      </c>
      <c r="H56">
        <v>579538</v>
      </c>
      <c r="I56">
        <v>747318</v>
      </c>
      <c r="J56">
        <v>1020313</v>
      </c>
      <c r="K56">
        <v>1037653</v>
      </c>
      <c r="L56">
        <v>1054841</v>
      </c>
      <c r="M56">
        <v>1071882</v>
      </c>
      <c r="N56">
        <v>1088709</v>
      </c>
      <c r="O56">
        <v>1105188</v>
      </c>
      <c r="P56">
        <v>1121248</v>
      </c>
      <c r="Q56">
        <v>1137096</v>
      </c>
      <c r="R56">
        <v>1152944</v>
      </c>
      <c r="S56">
        <v>1168722</v>
      </c>
    </row>
    <row r="57" spans="1:19" x14ac:dyDescent="0.35">
      <c r="A57" t="s">
        <v>16</v>
      </c>
      <c r="B57" t="s">
        <v>17</v>
      </c>
      <c r="C57" t="s">
        <v>126</v>
      </c>
      <c r="D57" t="s">
        <v>127</v>
      </c>
      <c r="E57" t="str">
        <f>VLOOKUP(C57, Continent!A:B, 2, FALSE)</f>
        <v>North America</v>
      </c>
      <c r="F57" s="14">
        <f>((Table1[[#This Row],[2024 '[YR2024']]]-Table1[[#This Row],[1990 '[YR1990']]])/Table1[[#This Row],[1990 '[YR1990']]])*100</f>
        <v>-4.9147600787051005</v>
      </c>
      <c r="G57" s="14">
        <f>((Table1[[#This Row],[2024 '[YR2024']]] / Table1[[#This Row],[1990 '[YR1990']]]) ^ (1 / (2024 - 1990)) - 1) * 100</f>
        <v>-0.14811500822276003</v>
      </c>
      <c r="H57">
        <v>69627</v>
      </c>
      <c r="I57">
        <v>68511</v>
      </c>
      <c r="J57">
        <v>70410</v>
      </c>
      <c r="K57">
        <v>69606</v>
      </c>
      <c r="L57">
        <v>68496</v>
      </c>
      <c r="M57">
        <v>68174</v>
      </c>
      <c r="N57">
        <v>67880</v>
      </c>
      <c r="O57">
        <v>67573</v>
      </c>
      <c r="P57">
        <v>67202</v>
      </c>
      <c r="Q57">
        <v>66826</v>
      </c>
      <c r="R57">
        <v>66510</v>
      </c>
      <c r="S57">
        <v>66205</v>
      </c>
    </row>
    <row r="58" spans="1:19" x14ac:dyDescent="0.35">
      <c r="A58" t="s">
        <v>16</v>
      </c>
      <c r="B58" t="s">
        <v>17</v>
      </c>
      <c r="C58" t="s">
        <v>128</v>
      </c>
      <c r="D58" t="s">
        <v>129</v>
      </c>
      <c r="E58" t="str">
        <f>VLOOKUP(C58, Continent!A:B, 2, FALSE)</f>
        <v>North America</v>
      </c>
      <c r="F58" s="14">
        <f>((Table1[[#This Row],[2024 '[YR2024']]]-Table1[[#This Row],[1990 '[YR1990']]])/Table1[[#This Row],[1990 '[YR1990']]])*100</f>
        <v>59.799912349958042</v>
      </c>
      <c r="G58" s="14">
        <f>((Table1[[#This Row],[2024 '[YR2024']]] / Table1[[#This Row],[1990 '[YR1990']]]) ^ (1 / (2024 - 1990)) - 1) * 100</f>
        <v>1.3882308960594614</v>
      </c>
      <c r="H58">
        <v>7151166</v>
      </c>
      <c r="I58">
        <v>8584190</v>
      </c>
      <c r="J58">
        <v>10434829</v>
      </c>
      <c r="K58">
        <v>10551430</v>
      </c>
      <c r="L58">
        <v>10666843</v>
      </c>
      <c r="M58">
        <v>10782053</v>
      </c>
      <c r="N58">
        <v>10894043</v>
      </c>
      <c r="O58">
        <v>11008300</v>
      </c>
      <c r="P58">
        <v>11123476</v>
      </c>
      <c r="Q58">
        <v>11230734</v>
      </c>
      <c r="R58">
        <v>11331265</v>
      </c>
      <c r="S58">
        <v>11427557</v>
      </c>
    </row>
    <row r="59" spans="1:19" x14ac:dyDescent="0.35">
      <c r="A59" t="s">
        <v>16</v>
      </c>
      <c r="B59" t="s">
        <v>17</v>
      </c>
      <c r="C59" t="s">
        <v>130</v>
      </c>
      <c r="D59" t="s">
        <v>131</v>
      </c>
      <c r="E59" t="str">
        <f>VLOOKUP(C59, Continent!A:B, 2, FALSE)</f>
        <v>South America</v>
      </c>
      <c r="F59" s="14">
        <f>((Table1[[#This Row],[2024 '[YR2024']]]-Table1[[#This Row],[1990 '[YR1990']]])/Table1[[#This Row],[1990 '[YR1990']]])*100</f>
        <v>73.152990359733408</v>
      </c>
      <c r="G59" s="14">
        <f>((Table1[[#This Row],[2024 '[YR2024']]] / Table1[[#This Row],[1990 '[YR1990']]]) ^ (1 / (2024 - 1990)) - 1) * 100</f>
        <v>1.6278287148625337</v>
      </c>
      <c r="H59">
        <v>10473673</v>
      </c>
      <c r="I59">
        <v>12689206</v>
      </c>
      <c r="J59">
        <v>16266225</v>
      </c>
      <c r="K59">
        <v>16505139</v>
      </c>
      <c r="L59">
        <v>16759519</v>
      </c>
      <c r="M59">
        <v>17049547</v>
      </c>
      <c r="N59">
        <v>17340021</v>
      </c>
      <c r="O59">
        <v>17546065</v>
      </c>
      <c r="P59">
        <v>17682454</v>
      </c>
      <c r="Q59">
        <v>17823897</v>
      </c>
      <c r="R59">
        <v>17980083</v>
      </c>
      <c r="S59">
        <v>18135478</v>
      </c>
    </row>
    <row r="60" spans="1:19" x14ac:dyDescent="0.35">
      <c r="A60" t="s">
        <v>16</v>
      </c>
      <c r="B60" t="s">
        <v>17</v>
      </c>
      <c r="C60" t="s">
        <v>554</v>
      </c>
      <c r="D60" t="s">
        <v>132</v>
      </c>
      <c r="E60" t="str">
        <f>VLOOKUP(C60, Continent!A:B, 2, FALSE)</f>
        <v>Africa</v>
      </c>
      <c r="F60" s="14">
        <f>((Table1[[#This Row],[2024 '[YR2024']]]-Table1[[#This Row],[1990 '[YR1990']]])/Table1[[#This Row],[1990 '[YR1990']]])*100</f>
        <v>99.563368549870475</v>
      </c>
      <c r="G60" s="14">
        <f>((Table1[[#This Row],[2024 '[YR2024']]] / Table1[[#This Row],[1990 '[YR1990']]]) ^ (1 / (2024 - 1990)) - 1) * 100</f>
        <v>2.0530307068234777</v>
      </c>
      <c r="H60">
        <v>58396618</v>
      </c>
      <c r="I60">
        <v>73083284</v>
      </c>
      <c r="J60">
        <v>99597342</v>
      </c>
      <c r="K60">
        <v>101644589</v>
      </c>
      <c r="L60">
        <v>103696057</v>
      </c>
      <c r="M60">
        <v>105682094</v>
      </c>
      <c r="N60">
        <v>107553158</v>
      </c>
      <c r="O60">
        <v>109315124</v>
      </c>
      <c r="P60">
        <v>110957008</v>
      </c>
      <c r="Q60">
        <v>112618250</v>
      </c>
      <c r="R60">
        <v>114535772</v>
      </c>
      <c r="S60">
        <v>116538258</v>
      </c>
    </row>
    <row r="61" spans="1:19" x14ac:dyDescent="0.35">
      <c r="A61" t="s">
        <v>16</v>
      </c>
      <c r="B61" t="s">
        <v>17</v>
      </c>
      <c r="C61" t="s">
        <v>133</v>
      </c>
      <c r="D61" t="s">
        <v>134</v>
      </c>
      <c r="E61" t="str">
        <f>VLOOKUP(C61, Continent!A:B, 2, FALSE)</f>
        <v>North America</v>
      </c>
      <c r="F61" s="14">
        <f>((Table1[[#This Row],[2024 '[YR2024']]]-Table1[[#This Row],[1990 '[YR1990']]])/Table1[[#This Row],[1990 '[YR1990']]])*100</f>
        <v>17.379900387538182</v>
      </c>
      <c r="G61" s="14">
        <f>((Table1[[#This Row],[2024 '[YR2024']]] / Table1[[#This Row],[1990 '[YR1990']]]) ^ (1 / (2024 - 1990)) - 1) * 100</f>
        <v>0.47242270954352961</v>
      </c>
      <c r="H61">
        <v>5399726</v>
      </c>
      <c r="I61">
        <v>5943366</v>
      </c>
      <c r="J61">
        <v>6183676</v>
      </c>
      <c r="K61">
        <v>6200800</v>
      </c>
      <c r="L61">
        <v>6213533</v>
      </c>
      <c r="M61">
        <v>6219807</v>
      </c>
      <c r="N61">
        <v>6222318</v>
      </c>
      <c r="O61">
        <v>6234673</v>
      </c>
      <c r="P61">
        <v>6255782</v>
      </c>
      <c r="Q61">
        <v>6280319</v>
      </c>
      <c r="R61">
        <v>6309624</v>
      </c>
      <c r="S61">
        <v>6338193</v>
      </c>
    </row>
    <row r="62" spans="1:19" x14ac:dyDescent="0.35">
      <c r="A62" t="s">
        <v>16</v>
      </c>
      <c r="B62" t="s">
        <v>17</v>
      </c>
      <c r="C62" t="s">
        <v>135</v>
      </c>
      <c r="D62" t="s">
        <v>136</v>
      </c>
      <c r="E62" t="str">
        <f>VLOOKUP(C62, Continent!A:B, 2, FALSE)</f>
        <v>Africa</v>
      </c>
      <c r="F62" s="14">
        <f>((Table1[[#This Row],[2024 '[YR2024']]]-Table1[[#This Row],[1990 '[YR1990']]])/Table1[[#This Row],[1990 '[YR1990']]])*100</f>
        <v>299.0343134981045</v>
      </c>
      <c r="G62" s="14">
        <f>((Table1[[#This Row],[2024 '[YR2024']]] / Table1[[#This Row],[1990 '[YR1990']]]) ^ (1 / (2024 - 1990)) - 1) * 100</f>
        <v>4.1541962497537943</v>
      </c>
      <c r="H62">
        <v>474274</v>
      </c>
      <c r="I62">
        <v>703279</v>
      </c>
      <c r="J62">
        <v>1453923</v>
      </c>
      <c r="K62">
        <v>1508186</v>
      </c>
      <c r="L62">
        <v>1562396</v>
      </c>
      <c r="M62">
        <v>1616422</v>
      </c>
      <c r="N62">
        <v>1670177</v>
      </c>
      <c r="O62">
        <v>1716468</v>
      </c>
      <c r="P62">
        <v>1758786</v>
      </c>
      <c r="Q62">
        <v>1803545</v>
      </c>
      <c r="R62">
        <v>1847549</v>
      </c>
      <c r="S62">
        <v>1892516</v>
      </c>
    </row>
    <row r="63" spans="1:19" x14ac:dyDescent="0.35">
      <c r="A63" t="s">
        <v>16</v>
      </c>
      <c r="B63" t="s">
        <v>17</v>
      </c>
      <c r="C63" t="s">
        <v>137</v>
      </c>
      <c r="D63" t="s">
        <v>138</v>
      </c>
      <c r="E63" t="str">
        <f>VLOOKUP(C63, Continent!A:B, 2, FALSE)</f>
        <v>Africa</v>
      </c>
      <c r="F63" s="14">
        <f>((Table1[[#This Row],[2024 '[YR2024']]]-Table1[[#This Row],[1990 '[YR1990']]])/Table1[[#This Row],[1990 '[YR1990']]])*100</f>
        <v>73.933125633075008</v>
      </c>
      <c r="G63" s="14">
        <f>((Table1[[#This Row],[2024 '[YR2024']]] / Table1[[#This Row],[1990 '[YR1990']]]) ^ (1 / (2024 - 1990)) - 1) * 100</f>
        <v>1.6412664426991741</v>
      </c>
      <c r="H63">
        <v>2032737</v>
      </c>
      <c r="I63">
        <v>2247031</v>
      </c>
      <c r="J63">
        <v>3105546</v>
      </c>
      <c r="K63">
        <v>3124698</v>
      </c>
      <c r="L63">
        <v>3150347</v>
      </c>
      <c r="M63">
        <v>3192760</v>
      </c>
      <c r="N63">
        <v>3240194</v>
      </c>
      <c r="O63">
        <v>3291271</v>
      </c>
      <c r="P63">
        <v>3350183</v>
      </c>
      <c r="Q63">
        <v>3409447</v>
      </c>
      <c r="R63">
        <v>3470390</v>
      </c>
      <c r="S63">
        <v>3535603</v>
      </c>
    </row>
    <row r="64" spans="1:19" x14ac:dyDescent="0.35">
      <c r="A64" t="s">
        <v>16</v>
      </c>
      <c r="B64" t="s">
        <v>17</v>
      </c>
      <c r="C64" t="s">
        <v>139</v>
      </c>
      <c r="D64" t="s">
        <v>140</v>
      </c>
      <c r="E64" t="str">
        <f>VLOOKUP(C64, Continent!A:B, 2, FALSE)</f>
        <v>Europe</v>
      </c>
      <c r="F64" s="14">
        <f>((Table1[[#This Row],[2024 '[YR2024']]]-Table1[[#This Row],[1990 '[YR1990']]])/Table1[[#This Row],[1990 '[YR1990']]])*100</f>
        <v>-12.566356567213068</v>
      </c>
      <c r="G64" s="14">
        <f>((Table1[[#This Row],[2024 '[YR2024']]] / Table1[[#This Row],[1990 '[YR1990']]]) ^ (1 / (2024 - 1990)) - 1) * 100</f>
        <v>-0.39419172571665273</v>
      </c>
      <c r="H64">
        <v>1569174</v>
      </c>
      <c r="I64">
        <v>1396985</v>
      </c>
      <c r="J64">
        <v>1315407</v>
      </c>
      <c r="K64">
        <v>1315790</v>
      </c>
      <c r="L64">
        <v>1317384</v>
      </c>
      <c r="M64">
        <v>1321977</v>
      </c>
      <c r="N64">
        <v>1326898</v>
      </c>
      <c r="O64">
        <v>1329522</v>
      </c>
      <c r="P64">
        <v>1330932</v>
      </c>
      <c r="Q64">
        <v>1348840</v>
      </c>
      <c r="R64">
        <v>1370286</v>
      </c>
      <c r="S64">
        <v>1371986</v>
      </c>
    </row>
    <row r="65" spans="1:19" x14ac:dyDescent="0.35">
      <c r="A65" t="s">
        <v>16</v>
      </c>
      <c r="B65" t="s">
        <v>17</v>
      </c>
      <c r="C65" t="s">
        <v>141</v>
      </c>
      <c r="D65" t="s">
        <v>142</v>
      </c>
      <c r="E65" t="str">
        <f>VLOOKUP(C65, Continent!A:B, 2, FALSE)</f>
        <v>Africa</v>
      </c>
      <c r="F65" s="14">
        <f>((Table1[[#This Row],[2024 '[YR2024']]]-Table1[[#This Row],[1990 '[YR1990']]])/Table1[[#This Row],[1990 '[YR1990']]])*100</f>
        <v>42.455537878197397</v>
      </c>
      <c r="G65" s="14">
        <f>((Table1[[#This Row],[2024 '[YR2024']]] / Table1[[#This Row],[1990 '[YR1990']]]) ^ (1 / (2024 - 1990)) - 1) * 100</f>
        <v>1.046198757297212</v>
      </c>
      <c r="H65">
        <v>872428</v>
      </c>
      <c r="I65">
        <v>1041414</v>
      </c>
      <c r="J65">
        <v>1142813</v>
      </c>
      <c r="K65">
        <v>1149507</v>
      </c>
      <c r="L65">
        <v>1158195</v>
      </c>
      <c r="M65">
        <v>1168929</v>
      </c>
      <c r="N65">
        <v>1179874</v>
      </c>
      <c r="O65">
        <v>1192729</v>
      </c>
      <c r="P65">
        <v>1206593</v>
      </c>
      <c r="Q65">
        <v>1218917</v>
      </c>
      <c r="R65">
        <v>1230506</v>
      </c>
      <c r="S65">
        <v>1242822</v>
      </c>
    </row>
    <row r="66" spans="1:19" x14ac:dyDescent="0.35">
      <c r="A66" t="s">
        <v>16</v>
      </c>
      <c r="B66" t="s">
        <v>17</v>
      </c>
      <c r="C66" t="s">
        <v>143</v>
      </c>
      <c r="D66" t="s">
        <v>144</v>
      </c>
      <c r="E66" t="str">
        <f>VLOOKUP(C66, Continent!A:B, 2, FALSE)</f>
        <v>Africa</v>
      </c>
      <c r="F66" s="14">
        <f>((Table1[[#This Row],[2024 '[YR2024']]]-Table1[[#This Row],[1990 '[YR1990']]])/Table1[[#This Row],[1990 '[YR1990']]])*100</f>
        <v>177.37963994983801</v>
      </c>
      <c r="G66" s="14">
        <f>((Table1[[#This Row],[2024 '[YR2024']]] / Table1[[#This Row],[1990 '[YR1990']]]) ^ (1 / (2024 - 1990)) - 1) * 100</f>
        <v>3.0461108371396373</v>
      </c>
      <c r="H66">
        <v>47609755</v>
      </c>
      <c r="I66">
        <v>67411494</v>
      </c>
      <c r="J66">
        <v>103867135</v>
      </c>
      <c r="K66">
        <v>106718162</v>
      </c>
      <c r="L66">
        <v>109666481</v>
      </c>
      <c r="M66">
        <v>112664152</v>
      </c>
      <c r="N66">
        <v>115737383</v>
      </c>
      <c r="O66">
        <v>118917671</v>
      </c>
      <c r="P66">
        <v>122138588</v>
      </c>
      <c r="Q66">
        <v>125384287</v>
      </c>
      <c r="R66">
        <v>128691692</v>
      </c>
      <c r="S66">
        <v>132059767</v>
      </c>
    </row>
    <row r="67" spans="1:19" x14ac:dyDescent="0.35">
      <c r="A67" t="s">
        <v>16</v>
      </c>
      <c r="B67" t="s">
        <v>17</v>
      </c>
      <c r="C67" t="s">
        <v>145</v>
      </c>
      <c r="D67" t="s">
        <v>146</v>
      </c>
      <c r="E67" t="str">
        <f>VLOOKUP(C67, Continent!A:B, 2, FALSE)</f>
        <v>Europe</v>
      </c>
      <c r="F67" s="14">
        <f>((Table1[[#This Row],[2024 '[YR2024']]]-Table1[[#This Row],[1990 '[YR1990']]])/Table1[[#This Row],[1990 '[YR1990']]])*100</f>
        <v>14.618768328445746</v>
      </c>
      <c r="G67" s="14">
        <f>((Table1[[#This Row],[2024 '[YR2024']]] / Table1[[#This Row],[1990 '[YR1990']]]) ^ (1 / (2024 - 1990)) - 1) * 100</f>
        <v>0.40210444804151813</v>
      </c>
      <c r="H67">
        <v>47740</v>
      </c>
      <c r="I67">
        <v>45754</v>
      </c>
      <c r="J67">
        <v>48901</v>
      </c>
      <c r="K67">
        <v>49464</v>
      </c>
      <c r="L67">
        <v>50180</v>
      </c>
      <c r="M67">
        <v>50996</v>
      </c>
      <c r="N67">
        <v>51793</v>
      </c>
      <c r="O67">
        <v>52567</v>
      </c>
      <c r="P67">
        <v>53305</v>
      </c>
      <c r="Q67">
        <v>53927</v>
      </c>
      <c r="R67">
        <v>54439</v>
      </c>
      <c r="S67">
        <v>54719</v>
      </c>
    </row>
    <row r="68" spans="1:19" x14ac:dyDescent="0.35">
      <c r="A68" t="s">
        <v>16</v>
      </c>
      <c r="B68" t="s">
        <v>17</v>
      </c>
      <c r="C68" t="s">
        <v>147</v>
      </c>
      <c r="D68" t="s">
        <v>148</v>
      </c>
      <c r="E68" t="str">
        <f>VLOOKUP(C68, Continent!A:B, 2, FALSE)</f>
        <v>Oceania</v>
      </c>
      <c r="F68" s="14">
        <f>((Table1[[#This Row],[2024 '[YR2024']]]-Table1[[#This Row],[1990 '[YR1990']]])/Table1[[#This Row],[1990 '[YR1990']]])*100</f>
        <v>20.104071298149787</v>
      </c>
      <c r="G68" s="14">
        <f>((Table1[[#This Row],[2024 '[YR2024']]] / Table1[[#This Row],[1990 '[YR1990']]]) ^ (1 / (2024 - 1990)) - 1) * 100</f>
        <v>0.54024361570272905</v>
      </c>
      <c r="H68">
        <v>773316</v>
      </c>
      <c r="I68">
        <v>840909</v>
      </c>
      <c r="J68">
        <v>918578</v>
      </c>
      <c r="K68">
        <v>919166</v>
      </c>
      <c r="L68">
        <v>918759</v>
      </c>
      <c r="M68">
        <v>917180</v>
      </c>
      <c r="N68">
        <v>914899</v>
      </c>
      <c r="O68">
        <v>914963</v>
      </c>
      <c r="P68">
        <v>916711</v>
      </c>
      <c r="Q68">
        <v>919422</v>
      </c>
      <c r="R68">
        <v>924145</v>
      </c>
      <c r="S68">
        <v>928784</v>
      </c>
    </row>
    <row r="69" spans="1:19" x14ac:dyDescent="0.35">
      <c r="A69" t="s">
        <v>16</v>
      </c>
      <c r="B69" t="s">
        <v>17</v>
      </c>
      <c r="C69" t="s">
        <v>149</v>
      </c>
      <c r="D69" t="s">
        <v>150</v>
      </c>
      <c r="E69" t="str">
        <f>VLOOKUP(C69, Continent!A:B, 2, FALSE)</f>
        <v>Europe</v>
      </c>
      <c r="F69" s="14">
        <f>((Table1[[#This Row],[2024 '[YR2024']]]-Table1[[#This Row],[1990 '[YR1990']]])/Table1[[#This Row],[1990 '[YR1990']]])*100</f>
        <v>13.051078015518513</v>
      </c>
      <c r="G69" s="14">
        <f>((Table1[[#This Row],[2024 '[YR2024']]] / Table1[[#This Row],[1990 '[YR1990']]]) ^ (1 / (2024 - 1990)) - 1) * 100</f>
        <v>0.36144443014407557</v>
      </c>
      <c r="H69">
        <v>4986431</v>
      </c>
      <c r="I69">
        <v>5176209</v>
      </c>
      <c r="J69">
        <v>5479531</v>
      </c>
      <c r="K69">
        <v>5495303</v>
      </c>
      <c r="L69">
        <v>5508214</v>
      </c>
      <c r="M69">
        <v>5515525</v>
      </c>
      <c r="N69">
        <v>5521606</v>
      </c>
      <c r="O69">
        <v>5529543</v>
      </c>
      <c r="P69">
        <v>5541017</v>
      </c>
      <c r="Q69">
        <v>5556106</v>
      </c>
      <c r="R69">
        <v>5583911</v>
      </c>
      <c r="S69">
        <v>5637214</v>
      </c>
    </row>
    <row r="70" spans="1:19" x14ac:dyDescent="0.35">
      <c r="A70" t="s">
        <v>16</v>
      </c>
      <c r="B70" t="s">
        <v>17</v>
      </c>
      <c r="C70" t="s">
        <v>151</v>
      </c>
      <c r="D70" t="s">
        <v>152</v>
      </c>
      <c r="E70" t="str">
        <f>VLOOKUP(C70, Continent!A:B, 2, FALSE)</f>
        <v>Europe</v>
      </c>
      <c r="F70" s="14">
        <f>((Table1[[#This Row],[2024 '[YR2024']]]-Table1[[#This Row],[1990 '[YR1990']]])/Table1[[#This Row],[1990 '[YR1990']]])*100</f>
        <v>17.603001815347803</v>
      </c>
      <c r="G70" s="14">
        <f>((Table1[[#This Row],[2024 '[YR2024']]] / Table1[[#This Row],[1990 '[YR1990']]]) ^ (1 / (2024 - 1990)) - 1) * 100</f>
        <v>0.47803417504981294</v>
      </c>
      <c r="H70">
        <v>58261012</v>
      </c>
      <c r="I70">
        <v>60918661</v>
      </c>
      <c r="J70">
        <v>66548272</v>
      </c>
      <c r="K70">
        <v>66724104</v>
      </c>
      <c r="L70">
        <v>66918020</v>
      </c>
      <c r="M70">
        <v>67158348</v>
      </c>
      <c r="N70">
        <v>67382061</v>
      </c>
      <c r="O70">
        <v>67601110</v>
      </c>
      <c r="P70">
        <v>67842811</v>
      </c>
      <c r="Q70">
        <v>68065015</v>
      </c>
      <c r="R70">
        <v>68287487</v>
      </c>
      <c r="S70">
        <v>68516699</v>
      </c>
    </row>
    <row r="71" spans="1:19" x14ac:dyDescent="0.35">
      <c r="A71" t="s">
        <v>16</v>
      </c>
      <c r="B71" t="s">
        <v>17</v>
      </c>
      <c r="C71" t="s">
        <v>153</v>
      </c>
      <c r="D71" t="s">
        <v>154</v>
      </c>
      <c r="E71" t="str">
        <f>VLOOKUP(C71, Continent!A:B, 2, FALSE)</f>
        <v>Oceania</v>
      </c>
      <c r="F71" s="14">
        <f>((Table1[[#This Row],[2024 '[YR2024']]]-Table1[[#This Row],[1990 '[YR1990']]])/Table1[[#This Row],[1990 '[YR1990']]])*100</f>
        <v>38.292536903266331</v>
      </c>
      <c r="G71" s="14">
        <f>((Table1[[#This Row],[2024 '[YR2024']]] / Table1[[#This Row],[1990 '[YR1990']]]) ^ (1 / (2024 - 1990)) - 1) * 100</f>
        <v>0.95809321844604334</v>
      </c>
      <c r="H71">
        <v>203776</v>
      </c>
      <c r="I71">
        <v>240337</v>
      </c>
      <c r="J71">
        <v>277866</v>
      </c>
      <c r="K71">
        <v>279178</v>
      </c>
      <c r="L71">
        <v>280087</v>
      </c>
      <c r="M71">
        <v>279815</v>
      </c>
      <c r="N71">
        <v>279034</v>
      </c>
      <c r="O71">
        <v>279209</v>
      </c>
      <c r="P71">
        <v>279792</v>
      </c>
      <c r="Q71">
        <v>280378</v>
      </c>
      <c r="R71">
        <v>281118</v>
      </c>
      <c r="S71">
        <v>281807</v>
      </c>
    </row>
    <row r="72" spans="1:19" x14ac:dyDescent="0.35">
      <c r="A72" t="s">
        <v>16</v>
      </c>
      <c r="B72" t="s">
        <v>17</v>
      </c>
      <c r="C72" t="s">
        <v>155</v>
      </c>
      <c r="D72" t="s">
        <v>156</v>
      </c>
      <c r="E72" t="str">
        <f>VLOOKUP(C72, Continent!A:B, 2, FALSE)</f>
        <v>Africa</v>
      </c>
      <c r="F72" s="14">
        <f>((Table1[[#This Row],[2024 '[YR2024']]]-Table1[[#This Row],[1990 '[YR1990']]])/Table1[[#This Row],[1990 '[YR1990']]])*100</f>
        <v>158.09334637208838</v>
      </c>
      <c r="G72" s="14">
        <f>((Table1[[#This Row],[2024 '[YR2024']]] / Table1[[#This Row],[1990 '[YR1990']]]) ^ (1 / (2024 - 1990)) - 1) * 100</f>
        <v>2.827927483864201</v>
      </c>
      <c r="H72">
        <v>983734</v>
      </c>
      <c r="I72">
        <v>1275572</v>
      </c>
      <c r="J72">
        <v>2040989</v>
      </c>
      <c r="K72">
        <v>2100306</v>
      </c>
      <c r="L72">
        <v>2156900</v>
      </c>
      <c r="M72">
        <v>2212318</v>
      </c>
      <c r="N72">
        <v>2267706</v>
      </c>
      <c r="O72">
        <v>2322539</v>
      </c>
      <c r="P72">
        <v>2376722</v>
      </c>
      <c r="Q72">
        <v>2430747</v>
      </c>
      <c r="R72">
        <v>2484789</v>
      </c>
      <c r="S72">
        <v>2538952</v>
      </c>
    </row>
    <row r="73" spans="1:19" x14ac:dyDescent="0.35">
      <c r="A73" t="s">
        <v>16</v>
      </c>
      <c r="B73" t="s">
        <v>17</v>
      </c>
      <c r="C73" t="s">
        <v>555</v>
      </c>
      <c r="D73" t="s">
        <v>157</v>
      </c>
      <c r="E73" t="str">
        <f>VLOOKUP(C73, Continent!A:B, 2, FALSE)</f>
        <v>Africa</v>
      </c>
      <c r="F73" s="14">
        <f>((Table1[[#This Row],[2024 '[YR2024']]]-Table1[[#This Row],[1990 '[YR1990']]])/Table1[[#This Row],[1990 '[YR1990']]])*100</f>
        <v>161.68564211867684</v>
      </c>
      <c r="G73" s="14">
        <f>((Table1[[#This Row],[2024 '[YR2024']]] / Table1[[#This Row],[1990 '[YR1990']]]) ^ (1 / (2024 - 1990)) - 1) * 100</f>
        <v>2.8697404256823766</v>
      </c>
      <c r="H73">
        <v>1054696</v>
      </c>
      <c r="I73">
        <v>1455084</v>
      </c>
      <c r="J73">
        <v>2224529</v>
      </c>
      <c r="K73">
        <v>2283769</v>
      </c>
      <c r="L73">
        <v>2342189</v>
      </c>
      <c r="M73">
        <v>2399632</v>
      </c>
      <c r="N73">
        <v>2456844</v>
      </c>
      <c r="O73">
        <v>2515733</v>
      </c>
      <c r="P73">
        <v>2576010</v>
      </c>
      <c r="Q73">
        <v>2636470</v>
      </c>
      <c r="R73">
        <v>2697845</v>
      </c>
      <c r="S73">
        <v>2759988</v>
      </c>
    </row>
    <row r="74" spans="1:19" x14ac:dyDescent="0.35">
      <c r="A74" t="s">
        <v>16</v>
      </c>
      <c r="B74" t="s">
        <v>17</v>
      </c>
      <c r="C74" t="s">
        <v>158</v>
      </c>
      <c r="D74" t="s">
        <v>159</v>
      </c>
      <c r="E74" t="str">
        <f>VLOOKUP(C74, Continent!A:B, 2, FALSE)</f>
        <v>Asia</v>
      </c>
      <c r="F74" s="14">
        <f>((Table1[[#This Row],[2024 '[YR2024']]]-Table1[[#This Row],[1990 '[YR1990']]])/Table1[[#This Row],[1990 '[YR1990']]])*100</f>
        <v>-23.493336109954186</v>
      </c>
      <c r="G74" s="14">
        <f>((Table1[[#This Row],[2024 '[YR2024']]] / Table1[[#This Row],[1990 '[YR1990']]]) ^ (1 / (2024 - 1990)) - 1) * 100</f>
        <v>-0.7845308927044381</v>
      </c>
      <c r="H74">
        <v>4802000</v>
      </c>
      <c r="I74">
        <v>4077131</v>
      </c>
      <c r="J74">
        <v>3725276</v>
      </c>
      <c r="K74">
        <v>3727505</v>
      </c>
      <c r="L74">
        <v>3728004</v>
      </c>
      <c r="M74">
        <v>3726549</v>
      </c>
      <c r="N74">
        <v>3720161</v>
      </c>
      <c r="O74">
        <v>3722716</v>
      </c>
      <c r="P74">
        <v>3708610</v>
      </c>
      <c r="Q74">
        <v>3712502</v>
      </c>
      <c r="R74">
        <v>3715483</v>
      </c>
      <c r="S74">
        <v>3673850</v>
      </c>
    </row>
    <row r="75" spans="1:19" x14ac:dyDescent="0.35">
      <c r="A75" t="s">
        <v>16</v>
      </c>
      <c r="B75" t="s">
        <v>17</v>
      </c>
      <c r="C75" t="s">
        <v>160</v>
      </c>
      <c r="D75" t="s">
        <v>161</v>
      </c>
      <c r="E75" t="str">
        <f>VLOOKUP(C75, Continent!A:B, 2, FALSE)</f>
        <v>Europe</v>
      </c>
      <c r="F75" s="14">
        <f>((Table1[[#This Row],[2024 '[YR2024']]]-Table1[[#This Row],[1990 '[YR1990']]])/Table1[[#This Row],[1990 '[YR1990']]])*100</f>
        <v>5.1337850908341922</v>
      </c>
      <c r="G75" s="14">
        <f>((Table1[[#This Row],[2024 '[YR2024']]] / Table1[[#This Row],[1990 '[YR1990']]]) ^ (1 / (2024 - 1990)) - 1) * 100</f>
        <v>0.14735403852830231</v>
      </c>
      <c r="H75">
        <v>79433029</v>
      </c>
      <c r="I75">
        <v>82211508</v>
      </c>
      <c r="J75">
        <v>81686611</v>
      </c>
      <c r="K75">
        <v>82348669</v>
      </c>
      <c r="L75">
        <v>82657002</v>
      </c>
      <c r="M75">
        <v>82905782</v>
      </c>
      <c r="N75">
        <v>83092962</v>
      </c>
      <c r="O75">
        <v>83160871</v>
      </c>
      <c r="P75">
        <v>83196078</v>
      </c>
      <c r="Q75">
        <v>83797985</v>
      </c>
      <c r="R75">
        <v>83901923</v>
      </c>
      <c r="S75">
        <v>83510950</v>
      </c>
    </row>
    <row r="76" spans="1:19" x14ac:dyDescent="0.35">
      <c r="A76" t="s">
        <v>16</v>
      </c>
      <c r="B76" t="s">
        <v>17</v>
      </c>
      <c r="C76" t="s">
        <v>162</v>
      </c>
      <c r="D76" t="s">
        <v>163</v>
      </c>
      <c r="E76" t="str">
        <f>VLOOKUP(C76, Continent!A:B, 2, FALSE)</f>
        <v>Africa</v>
      </c>
      <c r="F76" s="14">
        <f>((Table1[[#This Row],[2024 '[YR2024']]]-Table1[[#This Row],[1990 '[YR1990']]])/Table1[[#This Row],[1990 '[YR1990']]])*100</f>
        <v>123.6323558680913</v>
      </c>
      <c r="G76" s="14">
        <f>((Table1[[#This Row],[2024 '[YR2024']]] / Table1[[#This Row],[1990 '[YR1990']]]) ^ (1 / (2024 - 1990)) - 1) * 100</f>
        <v>2.3953961515357669</v>
      </c>
      <c r="H76">
        <v>15394648</v>
      </c>
      <c r="I76">
        <v>19637087</v>
      </c>
      <c r="J76">
        <v>28696068</v>
      </c>
      <c r="K76">
        <v>29356742</v>
      </c>
      <c r="L76">
        <v>30008354</v>
      </c>
      <c r="M76">
        <v>30637585</v>
      </c>
      <c r="N76">
        <v>31258945</v>
      </c>
      <c r="O76">
        <v>31887809</v>
      </c>
      <c r="P76">
        <v>32518665</v>
      </c>
      <c r="Q76">
        <v>33149152</v>
      </c>
      <c r="R76">
        <v>33787914</v>
      </c>
      <c r="S76">
        <v>34427414</v>
      </c>
    </row>
    <row r="77" spans="1:19" x14ac:dyDescent="0.35">
      <c r="A77" t="s">
        <v>16</v>
      </c>
      <c r="B77" t="s">
        <v>17</v>
      </c>
      <c r="C77" t="s">
        <v>164</v>
      </c>
      <c r="D77" t="s">
        <v>165</v>
      </c>
      <c r="E77" t="str">
        <f>VLOOKUP(C77, Continent!A:B, 2, FALSE)</f>
        <v>Europe</v>
      </c>
      <c r="F77" s="14">
        <f>((Table1[[#This Row],[2024 '[YR2024']]]-Table1[[#This Row],[1990 '[YR1990']]])/Table1[[#This Row],[1990 '[YR1990']]])*100</f>
        <v>44.591911764705884</v>
      </c>
      <c r="G77" s="14">
        <f>((Table1[[#This Row],[2024 '[YR2024']]] / Table1[[#This Row],[1990 '[YR1990']]]) ^ (1 / (2024 - 1990)) - 1) * 100</f>
        <v>1.0904471722687381</v>
      </c>
      <c r="H77">
        <v>27200</v>
      </c>
      <c r="I77">
        <v>27709</v>
      </c>
      <c r="J77">
        <v>33193</v>
      </c>
      <c r="K77">
        <v>33658</v>
      </c>
      <c r="L77">
        <v>34245</v>
      </c>
      <c r="M77">
        <v>34854</v>
      </c>
      <c r="N77">
        <v>35494</v>
      </c>
      <c r="O77">
        <v>36173</v>
      </c>
      <c r="P77">
        <v>36858</v>
      </c>
      <c r="Q77">
        <v>37609</v>
      </c>
      <c r="R77">
        <v>38471</v>
      </c>
      <c r="S77">
        <v>39329</v>
      </c>
    </row>
    <row r="78" spans="1:19" x14ac:dyDescent="0.35">
      <c r="A78" t="s">
        <v>16</v>
      </c>
      <c r="B78" t="s">
        <v>17</v>
      </c>
      <c r="C78" t="s">
        <v>166</v>
      </c>
      <c r="D78" t="s">
        <v>167</v>
      </c>
      <c r="E78" t="str">
        <f>VLOOKUP(C78, Continent!A:B, 2, FALSE)</f>
        <v>Europe</v>
      </c>
      <c r="F78" s="14">
        <f>((Table1[[#This Row],[2024 '[YR2024']]]-Table1[[#This Row],[1990 '[YR1990']]])/Table1[[#This Row],[1990 '[YR1990']]])*100</f>
        <v>1.8830726369626838</v>
      </c>
      <c r="G78" s="14">
        <f>((Table1[[#This Row],[2024 '[YR2024']]] / Table1[[#This Row],[1990 '[YR1990']]]) ^ (1 / (2024 - 1990)) - 1) * 100</f>
        <v>5.4884535587196304E-2</v>
      </c>
      <c r="H78">
        <v>10196792</v>
      </c>
      <c r="I78">
        <v>10805808</v>
      </c>
      <c r="J78">
        <v>10820883</v>
      </c>
      <c r="K78">
        <v>10775971</v>
      </c>
      <c r="L78">
        <v>10754679</v>
      </c>
      <c r="M78">
        <v>10732882</v>
      </c>
      <c r="N78">
        <v>10721582</v>
      </c>
      <c r="O78">
        <v>10698599</v>
      </c>
      <c r="P78">
        <v>10569207</v>
      </c>
      <c r="Q78">
        <v>10436882</v>
      </c>
      <c r="R78">
        <v>10405588</v>
      </c>
      <c r="S78">
        <v>10388805</v>
      </c>
    </row>
    <row r="79" spans="1:19" x14ac:dyDescent="0.35">
      <c r="A79" t="s">
        <v>16</v>
      </c>
      <c r="B79" t="s">
        <v>17</v>
      </c>
      <c r="C79" t="s">
        <v>168</v>
      </c>
      <c r="D79" t="s">
        <v>169</v>
      </c>
      <c r="E79" t="str">
        <f>VLOOKUP(C79, Continent!A:B, 2, FALSE)</f>
        <v>North America</v>
      </c>
      <c r="F79" s="14">
        <f>((Table1[[#This Row],[2024 '[YR2024']]]-Table1[[#This Row],[1990 '[YR1990']]])/Table1[[#This Row],[1990 '[YR1990']]])*100</f>
        <v>2.2230215827338129</v>
      </c>
      <c r="G79" s="14">
        <f>((Table1[[#This Row],[2024 '[YR2024']]] / Table1[[#This Row],[1990 '[YR1990']]]) ^ (1 / (2024 - 1990)) - 1) * 100</f>
        <v>6.4687756214309999E-2</v>
      </c>
      <c r="H79">
        <v>55600</v>
      </c>
      <c r="I79">
        <v>56185</v>
      </c>
      <c r="J79">
        <v>56114</v>
      </c>
      <c r="K79">
        <v>56186</v>
      </c>
      <c r="L79">
        <v>56172</v>
      </c>
      <c r="M79">
        <v>56023</v>
      </c>
      <c r="N79">
        <v>56225</v>
      </c>
      <c r="O79">
        <v>56367</v>
      </c>
      <c r="P79">
        <v>56653</v>
      </c>
      <c r="Q79">
        <v>56661</v>
      </c>
      <c r="R79">
        <v>56865</v>
      </c>
      <c r="S79">
        <v>56836</v>
      </c>
    </row>
    <row r="80" spans="1:19" x14ac:dyDescent="0.35">
      <c r="A80" t="s">
        <v>16</v>
      </c>
      <c r="B80" t="s">
        <v>17</v>
      </c>
      <c r="C80" t="s">
        <v>170</v>
      </c>
      <c r="D80" t="s">
        <v>171</v>
      </c>
      <c r="E80" t="str">
        <f>VLOOKUP(C80, Continent!A:B, 2, FALSE)</f>
        <v>North America</v>
      </c>
      <c r="F80" s="14">
        <f>((Table1[[#This Row],[2024 '[YR2024']]]-Table1[[#This Row],[1990 '[YR1990']]])/Table1[[#This Row],[1990 '[YR1990']]])*100</f>
        <v>17.257420690897085</v>
      </c>
      <c r="G80" s="14">
        <f>((Table1[[#This Row],[2024 '[YR2024']]] / Table1[[#This Row],[1990 '[YR1990']]]) ^ (1 / (2024 - 1990)) - 1) * 100</f>
        <v>0.46933768704555678</v>
      </c>
      <c r="H80">
        <v>99957</v>
      </c>
      <c r="I80">
        <v>107451</v>
      </c>
      <c r="J80">
        <v>114676</v>
      </c>
      <c r="K80">
        <v>115130</v>
      </c>
      <c r="L80">
        <v>115438</v>
      </c>
      <c r="M80">
        <v>115691</v>
      </c>
      <c r="N80">
        <v>115981</v>
      </c>
      <c r="O80">
        <v>116341</v>
      </c>
      <c r="P80">
        <v>116688</v>
      </c>
      <c r="Q80">
        <v>116913</v>
      </c>
      <c r="R80">
        <v>117081</v>
      </c>
      <c r="S80">
        <v>117207</v>
      </c>
    </row>
    <row r="81" spans="1:19" x14ac:dyDescent="0.35">
      <c r="A81" t="s">
        <v>16</v>
      </c>
      <c r="B81" t="s">
        <v>17</v>
      </c>
      <c r="C81" t="s">
        <v>172</v>
      </c>
      <c r="D81" t="s">
        <v>173</v>
      </c>
      <c r="E81" t="str">
        <f>VLOOKUP(C81, Continent!A:B, 2, FALSE)</f>
        <v>Oceania</v>
      </c>
      <c r="F81" s="14">
        <f>((Table1[[#This Row],[2024 '[YR2024']]]-Table1[[#This Row],[1990 '[YR1990']]])/Table1[[#This Row],[1990 '[YR1990']]])*100</f>
        <v>21.042493326599811</v>
      </c>
      <c r="G81" s="14">
        <f>((Table1[[#This Row],[2024 '[YR2024']]] / Table1[[#This Row],[1990 '[YR1990']]]) ^ (1 / (2024 - 1990)) - 1) * 100</f>
        <v>0.56326121510750227</v>
      </c>
      <c r="H81">
        <v>138610</v>
      </c>
      <c r="I81">
        <v>160065</v>
      </c>
      <c r="J81">
        <v>164905</v>
      </c>
      <c r="K81">
        <v>164233</v>
      </c>
      <c r="L81">
        <v>163490</v>
      </c>
      <c r="M81">
        <v>162679</v>
      </c>
      <c r="N81">
        <v>161808</v>
      </c>
      <c r="O81">
        <v>162158</v>
      </c>
      <c r="P81">
        <v>163730</v>
      </c>
      <c r="Q81">
        <v>165180</v>
      </c>
      <c r="R81">
        <v>166506</v>
      </c>
      <c r="S81">
        <v>167777</v>
      </c>
    </row>
    <row r="82" spans="1:19" x14ac:dyDescent="0.35">
      <c r="A82" t="s">
        <v>16</v>
      </c>
      <c r="B82" t="s">
        <v>17</v>
      </c>
      <c r="C82" t="s">
        <v>174</v>
      </c>
      <c r="D82" t="s">
        <v>175</v>
      </c>
      <c r="E82" t="str">
        <f>VLOOKUP(C82, Continent!A:B, 2, FALSE)</f>
        <v>North America</v>
      </c>
      <c r="F82" s="14">
        <f>((Table1[[#This Row],[2024 '[YR2024']]]-Table1[[#This Row],[1990 '[YR1990']]])/Table1[[#This Row],[1990 '[YR1990']]])*100</f>
        <v>103.95370609321697</v>
      </c>
      <c r="G82" s="14">
        <f>((Table1[[#This Row],[2024 '[YR2024']]] / Table1[[#This Row],[1990 '[YR1990']]]) ^ (1 / (2024 - 1990)) - 1) * 100</f>
        <v>2.1183691989452358</v>
      </c>
      <c r="H82">
        <v>9024773</v>
      </c>
      <c r="I82">
        <v>11697592</v>
      </c>
      <c r="J82">
        <v>15971743</v>
      </c>
      <c r="K82">
        <v>16268760</v>
      </c>
      <c r="L82">
        <v>16567357</v>
      </c>
      <c r="M82">
        <v>16845685</v>
      </c>
      <c r="N82">
        <v>17103803</v>
      </c>
      <c r="O82">
        <v>17357325</v>
      </c>
      <c r="P82">
        <v>17598650</v>
      </c>
      <c r="Q82">
        <v>17847877</v>
      </c>
      <c r="R82">
        <v>18124838</v>
      </c>
      <c r="S82">
        <v>18406359</v>
      </c>
    </row>
    <row r="83" spans="1:19" x14ac:dyDescent="0.35">
      <c r="A83" t="s">
        <v>16</v>
      </c>
      <c r="B83" t="s">
        <v>17</v>
      </c>
      <c r="C83" t="s">
        <v>176</v>
      </c>
      <c r="D83" t="s">
        <v>177</v>
      </c>
      <c r="E83" t="str">
        <f>VLOOKUP(C83, Continent!A:B, 2, FALSE)</f>
        <v>Africa</v>
      </c>
      <c r="F83" s="14">
        <f>((Table1[[#This Row],[2024 '[YR2024']]]-Table1[[#This Row],[1990 '[YR1990']]])/Table1[[#This Row],[1990 '[YR1990']]])*100</f>
        <v>129.31189576484053</v>
      </c>
      <c r="G83" s="14">
        <f>((Table1[[#This Row],[2024 '[YR2024']]] / Table1[[#This Row],[1990 '[YR1990']]]) ^ (1 / (2024 - 1990)) - 1) * 100</f>
        <v>2.4709545701748326</v>
      </c>
      <c r="H83">
        <v>6434374</v>
      </c>
      <c r="I83">
        <v>8428832</v>
      </c>
      <c r="J83">
        <v>11767070</v>
      </c>
      <c r="K83">
        <v>12073030</v>
      </c>
      <c r="L83">
        <v>12385659</v>
      </c>
      <c r="M83">
        <v>12704774</v>
      </c>
      <c r="N83">
        <v>13034346</v>
      </c>
      <c r="O83">
        <v>13371183</v>
      </c>
      <c r="P83">
        <v>13710513</v>
      </c>
      <c r="Q83">
        <v>14055137</v>
      </c>
      <c r="R83">
        <v>14405468</v>
      </c>
      <c r="S83">
        <v>14754785</v>
      </c>
    </row>
    <row r="84" spans="1:19" x14ac:dyDescent="0.35">
      <c r="A84" t="s">
        <v>16</v>
      </c>
      <c r="B84" t="s">
        <v>17</v>
      </c>
      <c r="C84" t="s">
        <v>178</v>
      </c>
      <c r="D84" t="s">
        <v>179</v>
      </c>
      <c r="E84" t="str">
        <f>VLOOKUP(C84, Continent!A:B, 2, FALSE)</f>
        <v>Africa</v>
      </c>
      <c r="F84" s="14">
        <f>((Table1[[#This Row],[2024 '[YR2024']]]-Table1[[#This Row],[1990 '[YR1990']]])/Table1[[#This Row],[1990 '[YR1990']]])*100</f>
        <v>126.08833186637347</v>
      </c>
      <c r="G84" s="14">
        <f>((Table1[[#This Row],[2024 '[YR2024']]] / Table1[[#This Row],[1990 '[YR1990']]]) ^ (1 / (2024 - 1990)) - 1) * 100</f>
        <v>2.4282954652159017</v>
      </c>
      <c r="H84">
        <v>973669</v>
      </c>
      <c r="I84">
        <v>1234741</v>
      </c>
      <c r="J84">
        <v>1786457</v>
      </c>
      <c r="K84">
        <v>1831893</v>
      </c>
      <c r="L84">
        <v>1877072</v>
      </c>
      <c r="M84">
        <v>1922168</v>
      </c>
      <c r="N84">
        <v>1967696</v>
      </c>
      <c r="O84">
        <v>2013255</v>
      </c>
      <c r="P84">
        <v>2058841</v>
      </c>
      <c r="Q84">
        <v>2105529</v>
      </c>
      <c r="R84">
        <v>2153339</v>
      </c>
      <c r="S84">
        <v>2201352</v>
      </c>
    </row>
    <row r="85" spans="1:19" x14ac:dyDescent="0.35">
      <c r="A85" t="s">
        <v>16</v>
      </c>
      <c r="B85" t="s">
        <v>17</v>
      </c>
      <c r="C85" t="s">
        <v>180</v>
      </c>
      <c r="D85" t="s">
        <v>181</v>
      </c>
      <c r="E85" t="str">
        <f>VLOOKUP(C85, Continent!A:B, 2, FALSE)</f>
        <v>South America</v>
      </c>
      <c r="F85" s="14">
        <f>((Table1[[#This Row],[2024 '[YR2024']]]-Table1[[#This Row],[1990 '[YR1990']]])/Table1[[#This Row],[1990 '[YR1990']]])*100</f>
        <v>10.827263586586906</v>
      </c>
      <c r="G85" s="14">
        <f>((Table1[[#This Row],[2024 '[YR2024']]] / Table1[[#This Row],[1990 '[YR1990']]]) ^ (1 / (2024 - 1990)) - 1) * 100</f>
        <v>0.30281821587632152</v>
      </c>
      <c r="H85">
        <v>749894</v>
      </c>
      <c r="I85">
        <v>764832</v>
      </c>
      <c r="J85">
        <v>758781</v>
      </c>
      <c r="K85">
        <v>763548</v>
      </c>
      <c r="L85">
        <v>768479</v>
      </c>
      <c r="M85">
        <v>791556</v>
      </c>
      <c r="N85">
        <v>807665</v>
      </c>
      <c r="O85">
        <v>807481</v>
      </c>
      <c r="P85">
        <v>815482</v>
      </c>
      <c r="Q85">
        <v>821637</v>
      </c>
      <c r="R85">
        <v>826353</v>
      </c>
      <c r="S85">
        <v>831087</v>
      </c>
    </row>
    <row r="86" spans="1:19" x14ac:dyDescent="0.35">
      <c r="A86" t="s">
        <v>16</v>
      </c>
      <c r="B86" t="s">
        <v>17</v>
      </c>
      <c r="C86" t="s">
        <v>182</v>
      </c>
      <c r="D86" t="s">
        <v>183</v>
      </c>
      <c r="E86" t="str">
        <f>VLOOKUP(C86, Continent!A:B, 2, FALSE)</f>
        <v>North America</v>
      </c>
      <c r="F86" s="14">
        <f>((Table1[[#This Row],[2024 '[YR2024']]]-Table1[[#This Row],[1990 '[YR1990']]])/Table1[[#This Row],[1990 '[YR1990']]])*100</f>
        <v>71.750796308553817</v>
      </c>
      <c r="G86" s="14">
        <f>((Table1[[#This Row],[2024 '[YR2024']]] / Table1[[#This Row],[1990 '[YR1990']]]) ^ (1 / (2024 - 1990)) - 1) * 100</f>
        <v>1.6035277035754802</v>
      </c>
      <c r="H86">
        <v>6854441</v>
      </c>
      <c r="I86">
        <v>8303151</v>
      </c>
      <c r="J86">
        <v>10523242</v>
      </c>
      <c r="K86">
        <v>10671457</v>
      </c>
      <c r="L86">
        <v>10817754</v>
      </c>
      <c r="M86">
        <v>10962362</v>
      </c>
      <c r="N86">
        <v>11105163</v>
      </c>
      <c r="O86">
        <v>11243848</v>
      </c>
      <c r="P86">
        <v>11374586</v>
      </c>
      <c r="Q86">
        <v>11503606</v>
      </c>
      <c r="R86">
        <v>11637398</v>
      </c>
      <c r="S86">
        <v>11772557</v>
      </c>
    </row>
    <row r="87" spans="1:19" x14ac:dyDescent="0.35">
      <c r="A87" t="s">
        <v>16</v>
      </c>
      <c r="B87" t="s">
        <v>17</v>
      </c>
      <c r="C87" t="s">
        <v>184</v>
      </c>
      <c r="D87" t="s">
        <v>185</v>
      </c>
      <c r="E87" t="str">
        <f>VLOOKUP(C87, Continent!A:B, 2, FALSE)</f>
        <v>North America</v>
      </c>
      <c r="F87" s="14">
        <f>((Table1[[#This Row],[2024 '[YR2024']]]-Table1[[#This Row],[1990 '[YR1990']]])/Table1[[#This Row],[1990 '[YR1990']]])*100</f>
        <v>117.3622946185193</v>
      </c>
      <c r="G87" s="14">
        <f>((Table1[[#This Row],[2024 '[YR2024']]] / Table1[[#This Row],[1990 '[YR1990']]]) ^ (1 / (2024 - 1990)) - 1) * 100</f>
        <v>2.3097875057987993</v>
      </c>
      <c r="H87">
        <v>4980488</v>
      </c>
      <c r="I87">
        <v>6577773</v>
      </c>
      <c r="J87">
        <v>9237305</v>
      </c>
      <c r="K87">
        <v>9412380</v>
      </c>
      <c r="L87">
        <v>9588137</v>
      </c>
      <c r="M87">
        <v>9765210</v>
      </c>
      <c r="N87">
        <v>9943633</v>
      </c>
      <c r="O87">
        <v>10119640</v>
      </c>
      <c r="P87">
        <v>10289877</v>
      </c>
      <c r="Q87">
        <v>10463872</v>
      </c>
      <c r="R87">
        <v>10644851</v>
      </c>
      <c r="S87">
        <v>10825703</v>
      </c>
    </row>
    <row r="88" spans="1:19" x14ac:dyDescent="0.35">
      <c r="A88" t="s">
        <v>16</v>
      </c>
      <c r="B88" t="s">
        <v>17</v>
      </c>
      <c r="C88" t="s">
        <v>186</v>
      </c>
      <c r="D88" t="s">
        <v>187</v>
      </c>
      <c r="E88" t="str">
        <f>VLOOKUP(C88, Continent!A:B, 2, FALSE)</f>
        <v>Asia</v>
      </c>
      <c r="F88" s="14">
        <f>((Table1[[#This Row],[2024 '[YR2024']]]-Table1[[#This Row],[1990 '[YR1990']]])/Table1[[#This Row],[1990 '[YR1990']]])*100</f>
        <v>31.897624682268383</v>
      </c>
      <c r="G88" s="14">
        <f>((Table1[[#This Row],[2024 '[YR2024']]] / Table1[[#This Row],[1990 '[YR1990']]]) ^ (1 / (2024 - 1990)) - 1) * 100</f>
        <v>0.81760624860585107</v>
      </c>
      <c r="H88">
        <v>5704500</v>
      </c>
      <c r="I88">
        <v>6665000</v>
      </c>
      <c r="J88">
        <v>7291300</v>
      </c>
      <c r="K88">
        <v>7336600</v>
      </c>
      <c r="L88">
        <v>7393200</v>
      </c>
      <c r="M88">
        <v>7452600</v>
      </c>
      <c r="N88">
        <v>7507900</v>
      </c>
      <c r="O88">
        <v>7481000</v>
      </c>
      <c r="P88">
        <v>7413100</v>
      </c>
      <c r="Q88">
        <v>7346100</v>
      </c>
      <c r="R88">
        <v>7536100</v>
      </c>
      <c r="S88">
        <v>7524100</v>
      </c>
    </row>
    <row r="89" spans="1:19" x14ac:dyDescent="0.35">
      <c r="A89" t="s">
        <v>16</v>
      </c>
      <c r="B89" t="s">
        <v>17</v>
      </c>
      <c r="C89" t="s">
        <v>188</v>
      </c>
      <c r="D89" t="s">
        <v>189</v>
      </c>
      <c r="E89" t="str">
        <f>VLOOKUP(C89, Continent!A:B, 2, FALSE)</f>
        <v>Europe</v>
      </c>
      <c r="F89" s="14">
        <f>((Table1[[#This Row],[2024 '[YR2024']]]-Table1[[#This Row],[1990 '[YR1990']]])/Table1[[#This Row],[1990 '[YR1990']]])*100</f>
        <v>-7.8241270377409338</v>
      </c>
      <c r="G89" s="14">
        <f>((Table1[[#This Row],[2024 '[YR2024']]] / Table1[[#This Row],[1990 '[YR1990']]]) ^ (1 / (2024 - 1990)) - 1) * 100</f>
        <v>-0.23933599010396156</v>
      </c>
      <c r="H89">
        <v>10373988</v>
      </c>
      <c r="I89">
        <v>10210971</v>
      </c>
      <c r="J89">
        <v>9797755</v>
      </c>
      <c r="K89">
        <v>9759755</v>
      </c>
      <c r="L89">
        <v>9726756</v>
      </c>
      <c r="M89">
        <v>9706964</v>
      </c>
      <c r="N89">
        <v>9694824</v>
      </c>
      <c r="O89">
        <v>9670419</v>
      </c>
      <c r="P89">
        <v>9630932</v>
      </c>
      <c r="Q89">
        <v>9605074</v>
      </c>
      <c r="R89">
        <v>9592186</v>
      </c>
      <c r="S89">
        <v>9562314</v>
      </c>
    </row>
    <row r="90" spans="1:19" x14ac:dyDescent="0.35">
      <c r="A90" t="s">
        <v>16</v>
      </c>
      <c r="B90" t="s">
        <v>17</v>
      </c>
      <c r="C90" t="s">
        <v>190</v>
      </c>
      <c r="D90" t="s">
        <v>191</v>
      </c>
      <c r="E90" t="str">
        <f>VLOOKUP(C90, Continent!A:B, 2, FALSE)</f>
        <v>Europe</v>
      </c>
      <c r="F90" s="14">
        <f>((Table1[[#This Row],[2024 '[YR2024']]]-Table1[[#This Row],[1990 '[YR1990']]])/Table1[[#This Row],[1990 '[YR1990']]])*100</f>
        <v>58.778931506204238</v>
      </c>
      <c r="G90" s="14">
        <f>((Table1[[#This Row],[2024 '[YR2024']]] / Table1[[#This Row],[1990 '[YR1990']]]) ^ (1 / (2024 - 1990)) - 1) * 100</f>
        <v>1.3691191732931429</v>
      </c>
      <c r="H90">
        <v>254826</v>
      </c>
      <c r="I90">
        <v>281205</v>
      </c>
      <c r="J90">
        <v>330815</v>
      </c>
      <c r="K90">
        <v>335439</v>
      </c>
      <c r="L90">
        <v>343400</v>
      </c>
      <c r="M90">
        <v>352721</v>
      </c>
      <c r="N90">
        <v>360563</v>
      </c>
      <c r="O90">
        <v>366463</v>
      </c>
      <c r="P90">
        <v>372520</v>
      </c>
      <c r="Q90">
        <v>382003</v>
      </c>
      <c r="R90">
        <v>393349</v>
      </c>
      <c r="S90">
        <v>404610</v>
      </c>
    </row>
    <row r="91" spans="1:19" x14ac:dyDescent="0.35">
      <c r="A91" t="s">
        <v>16</v>
      </c>
      <c r="B91" t="s">
        <v>17</v>
      </c>
      <c r="C91" t="s">
        <v>192</v>
      </c>
      <c r="D91" t="s">
        <v>193</v>
      </c>
      <c r="E91" t="str">
        <f>VLOOKUP(C91, Continent!A:B, 2, FALSE)</f>
        <v>Asia</v>
      </c>
      <c r="F91" s="14">
        <f>((Table1[[#This Row],[2024 '[YR2024']]]-Table1[[#This Row],[1990 '[YR1990']]])/Table1[[#This Row],[1990 '[YR1990']]])*100</f>
        <v>67.743628728627115</v>
      </c>
      <c r="G91" s="14">
        <f>((Table1[[#This Row],[2024 '[YR2024']]] / Table1[[#This Row],[1990 '[YR1990']]]) ^ (1 / (2024 - 1990)) - 1) * 100</f>
        <v>1.5330041598851096</v>
      </c>
      <c r="H91">
        <v>864972221</v>
      </c>
      <c r="I91">
        <v>1057922733</v>
      </c>
      <c r="J91">
        <v>1328024498</v>
      </c>
      <c r="K91">
        <v>1343944296</v>
      </c>
      <c r="L91">
        <v>1359657400</v>
      </c>
      <c r="M91">
        <v>1374659064</v>
      </c>
      <c r="N91">
        <v>1389030312</v>
      </c>
      <c r="O91">
        <v>1402617695</v>
      </c>
      <c r="P91">
        <v>1414203896</v>
      </c>
      <c r="Q91">
        <v>1425423212</v>
      </c>
      <c r="R91">
        <v>1438069596</v>
      </c>
      <c r="S91">
        <v>1450935791</v>
      </c>
    </row>
    <row r="92" spans="1:19" x14ac:dyDescent="0.35">
      <c r="A92" t="s">
        <v>16</v>
      </c>
      <c r="B92" t="s">
        <v>17</v>
      </c>
      <c r="C92" t="s">
        <v>194</v>
      </c>
      <c r="D92" t="s">
        <v>195</v>
      </c>
      <c r="E92" t="str">
        <f>VLOOKUP(C92, Continent!A:B, 2, FALSE)</f>
        <v>Asia</v>
      </c>
      <c r="F92" s="14">
        <f>((Table1[[#This Row],[2024 '[YR2024']]]-Table1[[#This Row],[1990 '[YR1990']]])/Table1[[#This Row],[1990 '[YR1990']]])*100</f>
        <v>54.488411290051239</v>
      </c>
      <c r="G92" s="14">
        <f>((Table1[[#This Row],[2024 '[YR2024']]] / Table1[[#This Row],[1990 '[YR1990']]]) ^ (1 / (2024 - 1990)) - 1) * 100</f>
        <v>1.2874790232045852</v>
      </c>
      <c r="H92">
        <v>183501098</v>
      </c>
      <c r="I92">
        <v>216077790</v>
      </c>
      <c r="J92">
        <v>261799249</v>
      </c>
      <c r="K92">
        <v>264627418</v>
      </c>
      <c r="L92">
        <v>267346658</v>
      </c>
      <c r="M92">
        <v>269951846</v>
      </c>
      <c r="N92">
        <v>272489381</v>
      </c>
      <c r="O92">
        <v>274814866</v>
      </c>
      <c r="P92">
        <v>276758053</v>
      </c>
      <c r="Q92">
        <v>278830529</v>
      </c>
      <c r="R92">
        <v>281190067</v>
      </c>
      <c r="S92">
        <v>283487931</v>
      </c>
    </row>
    <row r="93" spans="1:19" x14ac:dyDescent="0.35">
      <c r="A93" t="s">
        <v>16</v>
      </c>
      <c r="B93" t="s">
        <v>17</v>
      </c>
      <c r="C93" t="s">
        <v>556</v>
      </c>
      <c r="D93" t="s">
        <v>196</v>
      </c>
      <c r="E93" t="str">
        <f>VLOOKUP(C93, Continent!A:B, 2, FALSE)</f>
        <v>Asia</v>
      </c>
      <c r="F93" s="14">
        <f>((Table1[[#This Row],[2024 '[YR2024']]]-Table1[[#This Row],[1990 '[YR1990']]])/Table1[[#This Row],[1990 '[YR1990']]])*100</f>
        <v>56.847539740088116</v>
      </c>
      <c r="G93" s="14">
        <f>((Table1[[#This Row],[2024 '[YR2024']]] / Table1[[#This Row],[1990 '[YR1990']]]) ^ (1 / (2024 - 1990)) - 1) * 100</f>
        <v>1.3326369778085656</v>
      </c>
      <c r="H93">
        <v>58380092</v>
      </c>
      <c r="I93">
        <v>66418659</v>
      </c>
      <c r="J93">
        <v>82619362</v>
      </c>
      <c r="K93">
        <v>83812228</v>
      </c>
      <c r="L93">
        <v>85026754</v>
      </c>
      <c r="M93">
        <v>86117998</v>
      </c>
      <c r="N93">
        <v>87051648</v>
      </c>
      <c r="O93">
        <v>87723443</v>
      </c>
      <c r="P93">
        <v>88455488</v>
      </c>
      <c r="Q93">
        <v>89524246</v>
      </c>
      <c r="R93">
        <v>90608707</v>
      </c>
      <c r="S93">
        <v>91567738</v>
      </c>
    </row>
    <row r="94" spans="1:19" x14ac:dyDescent="0.35">
      <c r="A94" t="s">
        <v>16</v>
      </c>
      <c r="B94" t="s">
        <v>17</v>
      </c>
      <c r="C94" t="s">
        <v>197</v>
      </c>
      <c r="D94" t="s">
        <v>198</v>
      </c>
      <c r="E94" t="str">
        <f>VLOOKUP(C94, Continent!A:B, 2, FALSE)</f>
        <v>Asia</v>
      </c>
      <c r="F94" s="14">
        <f>((Table1[[#This Row],[2024 '[YR2024']]]-Table1[[#This Row],[1990 '[YR1990']]])/Table1[[#This Row],[1990 '[YR1990']]])*100</f>
        <v>161.88200627419985</v>
      </c>
      <c r="G94" s="14">
        <f>((Table1[[#This Row],[2024 '[YR2024']]] / Table1[[#This Row],[1990 '[YR1990']]]) ^ (1 / (2024 - 1990)) - 1) * 100</f>
        <v>2.8720099400917798</v>
      </c>
      <c r="H94">
        <v>17581206</v>
      </c>
      <c r="I94">
        <v>24424056</v>
      </c>
      <c r="J94">
        <v>37560535</v>
      </c>
      <c r="K94">
        <v>38469627</v>
      </c>
      <c r="L94">
        <v>39337353</v>
      </c>
      <c r="M94">
        <v>40265624</v>
      </c>
      <c r="N94">
        <v>41192171</v>
      </c>
      <c r="O94">
        <v>42116605</v>
      </c>
      <c r="P94">
        <v>43071211</v>
      </c>
      <c r="Q94">
        <v>44070551</v>
      </c>
      <c r="R94">
        <v>45074049</v>
      </c>
      <c r="S94">
        <v>46042015</v>
      </c>
    </row>
    <row r="95" spans="1:19" x14ac:dyDescent="0.35">
      <c r="A95" t="s">
        <v>16</v>
      </c>
      <c r="B95" t="s">
        <v>17</v>
      </c>
      <c r="C95" t="s">
        <v>199</v>
      </c>
      <c r="D95" t="s">
        <v>200</v>
      </c>
      <c r="E95" t="str">
        <f>VLOOKUP(C95, Continent!A:B, 2, FALSE)</f>
        <v>Europe</v>
      </c>
      <c r="F95" s="14">
        <f>((Table1[[#This Row],[2024 '[YR2024']]]-Table1[[#This Row],[1990 '[YR1990']]])/Table1[[#This Row],[1990 '[YR1990']]])*100</f>
        <v>53.110324663756757</v>
      </c>
      <c r="G95" s="14">
        <f>((Table1[[#This Row],[2024 '[YR2024']]] / Table1[[#This Row],[1990 '[YR1990']]]) ^ (1 / (2024 - 1990)) - 1) * 100</f>
        <v>1.2607892740347459</v>
      </c>
      <c r="H95">
        <v>3513974</v>
      </c>
      <c r="I95">
        <v>3805174</v>
      </c>
      <c r="J95">
        <v>4701957</v>
      </c>
      <c r="K95">
        <v>4762722</v>
      </c>
      <c r="L95">
        <v>4827445</v>
      </c>
      <c r="M95">
        <v>4898022</v>
      </c>
      <c r="N95">
        <v>4976456</v>
      </c>
      <c r="O95">
        <v>5039747</v>
      </c>
      <c r="P95">
        <v>5110585</v>
      </c>
      <c r="Q95">
        <v>5212836</v>
      </c>
      <c r="R95">
        <v>5307600</v>
      </c>
      <c r="S95">
        <v>5380257</v>
      </c>
    </row>
    <row r="96" spans="1:19" x14ac:dyDescent="0.35">
      <c r="A96" t="s">
        <v>16</v>
      </c>
      <c r="B96" t="s">
        <v>17</v>
      </c>
      <c r="C96" t="s">
        <v>201</v>
      </c>
      <c r="D96" t="s">
        <v>202</v>
      </c>
      <c r="E96" t="str">
        <f>VLOOKUP(C96, Continent!A:B, 2, FALSE)</f>
        <v>Europe</v>
      </c>
      <c r="F96" s="14">
        <f>((Table1[[#This Row],[2024 '[YR2024']]]-Table1[[#This Row],[1990 '[YR1990']]])/Table1[[#This Row],[1990 '[YR1990']]])*100</f>
        <v>22.119681931626907</v>
      </c>
      <c r="G96" s="14">
        <f>((Table1[[#This Row],[2024 '[YR2024']]] / Table1[[#This Row],[1990 '[YR1990']]]) ^ (1 / (2024 - 1990)) - 1) * 100</f>
        <v>0.58946992151023281</v>
      </c>
      <c r="H96">
        <v>68916</v>
      </c>
      <c r="I96">
        <v>75659</v>
      </c>
      <c r="J96">
        <v>83593</v>
      </c>
      <c r="K96">
        <v>83466</v>
      </c>
      <c r="L96">
        <v>83609</v>
      </c>
      <c r="M96">
        <v>83805</v>
      </c>
      <c r="N96">
        <v>83957</v>
      </c>
      <c r="O96">
        <v>84064</v>
      </c>
      <c r="P96">
        <v>84106</v>
      </c>
      <c r="Q96">
        <v>84132</v>
      </c>
      <c r="R96">
        <v>84165</v>
      </c>
      <c r="S96">
        <v>84160</v>
      </c>
    </row>
    <row r="97" spans="1:19" x14ac:dyDescent="0.35">
      <c r="A97" t="s">
        <v>16</v>
      </c>
      <c r="B97" t="s">
        <v>17</v>
      </c>
      <c r="C97" t="s">
        <v>203</v>
      </c>
      <c r="D97" t="s">
        <v>204</v>
      </c>
      <c r="E97" t="str">
        <f>VLOOKUP(C97, Continent!A:B, 2, FALSE)</f>
        <v>Asia</v>
      </c>
      <c r="F97" s="14">
        <f>((Table1[[#This Row],[2024 '[YR2024']]]-Table1[[#This Row],[1990 '[YR1990']]])/Table1[[#This Row],[1990 '[YR1990']]])*100</f>
        <v>114.04291845493562</v>
      </c>
      <c r="G97" s="14">
        <f>((Table1[[#This Row],[2024 '[YR2024']]] / Table1[[#This Row],[1990 '[YR1990']]]) ^ (1 / (2024 - 1990)) - 1) * 100</f>
        <v>2.2634908487046301</v>
      </c>
      <c r="H97">
        <v>4660000</v>
      </c>
      <c r="I97">
        <v>6289000</v>
      </c>
      <c r="J97">
        <v>8380100</v>
      </c>
      <c r="K97">
        <v>8546000</v>
      </c>
      <c r="L97">
        <v>8713300</v>
      </c>
      <c r="M97">
        <v>8882800</v>
      </c>
      <c r="N97">
        <v>9054000</v>
      </c>
      <c r="O97">
        <v>9215100</v>
      </c>
      <c r="P97">
        <v>9371400</v>
      </c>
      <c r="Q97">
        <v>9557500</v>
      </c>
      <c r="R97">
        <v>9849000</v>
      </c>
      <c r="S97">
        <v>9974400</v>
      </c>
    </row>
    <row r="98" spans="1:19" x14ac:dyDescent="0.35">
      <c r="A98" t="s">
        <v>16</v>
      </c>
      <c r="B98" t="s">
        <v>17</v>
      </c>
      <c r="C98" t="s">
        <v>205</v>
      </c>
      <c r="D98" t="s">
        <v>206</v>
      </c>
      <c r="E98" t="str">
        <f>VLOOKUP(C98, Continent!A:B, 2, FALSE)</f>
        <v>Europe</v>
      </c>
      <c r="F98" s="14">
        <f>((Table1[[#This Row],[2024 '[YR2024']]]-Table1[[#This Row],[1990 '[YR1990']]])/Table1[[#This Row],[1990 '[YR1990']]])*100</f>
        <v>3.9964974848040984</v>
      </c>
      <c r="G98" s="14">
        <f>((Table1[[#This Row],[2024 '[YR2024']]] / Table1[[#This Row],[1990 '[YR1990']]]) ^ (1 / (2024 - 1990)) - 1) * 100</f>
        <v>0.11532242922072111</v>
      </c>
      <c r="H98">
        <v>56719240</v>
      </c>
      <c r="I98">
        <v>56942108</v>
      </c>
      <c r="J98">
        <v>60229605</v>
      </c>
      <c r="K98">
        <v>60115223</v>
      </c>
      <c r="L98">
        <v>60002252</v>
      </c>
      <c r="M98">
        <v>60148658</v>
      </c>
      <c r="N98">
        <v>59729081</v>
      </c>
      <c r="O98">
        <v>59438851</v>
      </c>
      <c r="P98">
        <v>59133173</v>
      </c>
      <c r="Q98">
        <v>59013667</v>
      </c>
      <c r="R98">
        <v>58993475</v>
      </c>
      <c r="S98">
        <v>58986023</v>
      </c>
    </row>
    <row r="99" spans="1:19" x14ac:dyDescent="0.35">
      <c r="A99" t="s">
        <v>16</v>
      </c>
      <c r="B99" t="s">
        <v>17</v>
      </c>
      <c r="C99" t="s">
        <v>207</v>
      </c>
      <c r="D99" t="s">
        <v>208</v>
      </c>
      <c r="E99" t="str">
        <f>VLOOKUP(C99, Continent!A:B, 2, FALSE)</f>
        <v>North America</v>
      </c>
      <c r="F99" s="14">
        <f>((Table1[[#This Row],[2024 '[YR2024']]]-Table1[[#This Row],[1990 '[YR1990']]])/Table1[[#This Row],[1990 '[YR1990']]])*100</f>
        <v>19.299232691437414</v>
      </c>
      <c r="G99" s="14">
        <f>((Table1[[#This Row],[2024 '[YR2024']]] / Table1[[#This Row],[1990 '[YR1990']]]) ^ (1 / (2024 - 1990)) - 1) * 100</f>
        <v>0.52036306698195478</v>
      </c>
      <c r="H99">
        <v>2379877</v>
      </c>
      <c r="I99">
        <v>2607826</v>
      </c>
      <c r="J99">
        <v>2802534</v>
      </c>
      <c r="K99">
        <v>2809915</v>
      </c>
      <c r="L99">
        <v>2815764</v>
      </c>
      <c r="M99">
        <v>2820097</v>
      </c>
      <c r="N99">
        <v>2823271</v>
      </c>
      <c r="O99">
        <v>2830739</v>
      </c>
      <c r="P99">
        <v>2837682</v>
      </c>
      <c r="Q99">
        <v>2839144</v>
      </c>
      <c r="R99">
        <v>2839786</v>
      </c>
      <c r="S99">
        <v>2839175</v>
      </c>
    </row>
    <row r="100" spans="1:19" x14ac:dyDescent="0.35">
      <c r="A100" t="s">
        <v>16</v>
      </c>
      <c r="B100" t="s">
        <v>17</v>
      </c>
      <c r="C100" t="s">
        <v>209</v>
      </c>
      <c r="D100" t="s">
        <v>210</v>
      </c>
      <c r="E100" t="str">
        <f>VLOOKUP(C100, Continent!A:B, 2, FALSE)</f>
        <v>Asia</v>
      </c>
      <c r="F100" s="14">
        <f>((Table1[[#This Row],[2024 '[YR2024']]]-Table1[[#This Row],[1990 '[YR1990']]])/Table1[[#This Row],[1990 '[YR1990']]])*100</f>
        <v>0.40280130873515935</v>
      </c>
      <c r="G100" s="14">
        <f>((Table1[[#This Row],[2024 '[YR2024']]] / Table1[[#This Row],[1990 '[YR1990']]]) ^ (1 / (2024 - 1990)) - 1) * 100</f>
        <v>1.1824000043691996E-2</v>
      </c>
      <c r="H100">
        <v>123478000</v>
      </c>
      <c r="I100">
        <v>126843000</v>
      </c>
      <c r="J100">
        <v>127141000</v>
      </c>
      <c r="K100">
        <v>127076000</v>
      </c>
      <c r="L100">
        <v>126972000</v>
      </c>
      <c r="M100">
        <v>126811000</v>
      </c>
      <c r="N100">
        <v>126633000</v>
      </c>
      <c r="O100">
        <v>126261000</v>
      </c>
      <c r="P100">
        <v>125681593</v>
      </c>
      <c r="Q100">
        <v>125124989</v>
      </c>
      <c r="R100">
        <v>124516650</v>
      </c>
      <c r="S100">
        <v>123975371</v>
      </c>
    </row>
    <row r="101" spans="1:19" x14ac:dyDescent="0.35">
      <c r="A101" t="s">
        <v>16</v>
      </c>
      <c r="B101" t="s">
        <v>17</v>
      </c>
      <c r="C101" t="s">
        <v>211</v>
      </c>
      <c r="D101" t="s">
        <v>212</v>
      </c>
      <c r="E101" t="str">
        <f>VLOOKUP(C101, Continent!A:B, 2, FALSE)</f>
        <v>Asia</v>
      </c>
      <c r="F101" s="14">
        <f>((Table1[[#This Row],[2024 '[YR2024']]]-Table1[[#This Row],[1990 '[YR1990']]])/Table1[[#This Row],[1990 '[YR1990']]])*100</f>
        <v>218.97209978828838</v>
      </c>
      <c r="G101" s="14">
        <f>((Table1[[#This Row],[2024 '[YR2024']]] / Table1[[#This Row],[1990 '[YR1990']]]) ^ (1 / (2024 - 1990)) - 1) * 100</f>
        <v>3.4704304486181226</v>
      </c>
      <c r="H101">
        <v>3621908</v>
      </c>
      <c r="I101">
        <v>5386945</v>
      </c>
      <c r="J101">
        <v>9544729</v>
      </c>
      <c r="K101">
        <v>10006367</v>
      </c>
      <c r="L101">
        <v>10234226</v>
      </c>
      <c r="M101">
        <v>10462306</v>
      </c>
      <c r="N101">
        <v>10671891</v>
      </c>
      <c r="O101">
        <v>10865228</v>
      </c>
      <c r="P101">
        <v>11066356</v>
      </c>
      <c r="Q101">
        <v>11256263</v>
      </c>
      <c r="R101">
        <v>11439213</v>
      </c>
      <c r="S101">
        <v>11552876</v>
      </c>
    </row>
    <row r="102" spans="1:19" x14ac:dyDescent="0.35">
      <c r="A102" t="s">
        <v>16</v>
      </c>
      <c r="B102" t="s">
        <v>17</v>
      </c>
      <c r="C102" t="s">
        <v>213</v>
      </c>
      <c r="D102" t="s">
        <v>214</v>
      </c>
      <c r="E102" t="str">
        <f>VLOOKUP(C102, Continent!A:B, 2, FALSE)</f>
        <v>Asia</v>
      </c>
      <c r="F102" s="14">
        <f>((Table1[[#This Row],[2024 '[YR2024']]]-Table1[[#This Row],[1990 '[YR1990']]])/Table1[[#This Row],[1990 '[YR1990']]])*100</f>
        <v>20.044923491554826</v>
      </c>
      <c r="G102" s="14">
        <f>((Table1[[#This Row],[2024 '[YR2024']]] / Table1[[#This Row],[1990 '[YR1990']]]) ^ (1 / (2024 - 1990)) - 1) * 100</f>
        <v>0.53878699745721903</v>
      </c>
      <c r="H102">
        <v>17154054</v>
      </c>
      <c r="I102">
        <v>15501103</v>
      </c>
      <c r="J102">
        <v>18084169</v>
      </c>
      <c r="K102">
        <v>18363600</v>
      </c>
      <c r="L102">
        <v>18651931</v>
      </c>
      <c r="M102">
        <v>18932727</v>
      </c>
      <c r="N102">
        <v>19209555</v>
      </c>
      <c r="O102">
        <v>19482117</v>
      </c>
      <c r="P102">
        <v>19743603</v>
      </c>
      <c r="Q102">
        <v>20034609</v>
      </c>
      <c r="R102">
        <v>20330104</v>
      </c>
      <c r="S102">
        <v>20592571</v>
      </c>
    </row>
    <row r="103" spans="1:19" x14ac:dyDescent="0.35">
      <c r="A103" t="s">
        <v>16</v>
      </c>
      <c r="B103" t="s">
        <v>17</v>
      </c>
      <c r="C103" t="s">
        <v>215</v>
      </c>
      <c r="D103" t="s">
        <v>216</v>
      </c>
      <c r="E103" t="str">
        <f>VLOOKUP(C103, Continent!A:B, 2, FALSE)</f>
        <v>Africa</v>
      </c>
      <c r="F103" s="14">
        <f>((Table1[[#This Row],[2024 '[YR2024']]]-Table1[[#This Row],[1990 '[YR1990']]])/Table1[[#This Row],[1990 '[YR1990']]])*100</f>
        <v>146.51117950472403</v>
      </c>
      <c r="G103" s="14">
        <f>((Table1[[#This Row],[2024 '[YR2024']]] / Table1[[#This Row],[1990 '[YR1990']]]) ^ (1 / (2024 - 1990)) - 1) * 100</f>
        <v>2.6891612130056641</v>
      </c>
      <c r="H103">
        <v>22892651</v>
      </c>
      <c r="I103">
        <v>30642890</v>
      </c>
      <c r="J103">
        <v>47088526</v>
      </c>
      <c r="K103">
        <v>48139687</v>
      </c>
      <c r="L103">
        <v>49197766</v>
      </c>
      <c r="M103">
        <v>50207107</v>
      </c>
      <c r="N103">
        <v>51202827</v>
      </c>
      <c r="O103">
        <v>52217334</v>
      </c>
      <c r="P103">
        <v>53219166</v>
      </c>
      <c r="Q103">
        <v>54252461</v>
      </c>
      <c r="R103">
        <v>55339003</v>
      </c>
      <c r="S103">
        <v>56432944</v>
      </c>
    </row>
    <row r="104" spans="1:19" x14ac:dyDescent="0.35">
      <c r="A104" t="s">
        <v>16</v>
      </c>
      <c r="B104" t="s">
        <v>17</v>
      </c>
      <c r="C104" t="s">
        <v>217</v>
      </c>
      <c r="D104" t="s">
        <v>218</v>
      </c>
      <c r="E104" t="str">
        <f>VLOOKUP(C104, Continent!A:B, 2, FALSE)</f>
        <v>Oceania</v>
      </c>
      <c r="F104" s="14">
        <f>((Table1[[#This Row],[2024 '[YR2024']]]-Table1[[#This Row],[1990 '[YR1990']]])/Table1[[#This Row],[1990 '[YR1990']]])*100</f>
        <v>79.704762540912427</v>
      </c>
      <c r="G104" s="14">
        <f>((Table1[[#This Row],[2024 '[YR2024']]] / Table1[[#This Row],[1990 '[YR1990']]]) ^ (1 / (2024 - 1990)) - 1) * 100</f>
        <v>1.7389020947533584</v>
      </c>
      <c r="H104">
        <v>74855</v>
      </c>
      <c r="I104">
        <v>88613</v>
      </c>
      <c r="J104">
        <v>116815</v>
      </c>
      <c r="K104">
        <v>118478</v>
      </c>
      <c r="L104">
        <v>120275</v>
      </c>
      <c r="M104">
        <v>122084</v>
      </c>
      <c r="N104">
        <v>123921</v>
      </c>
      <c r="O104">
        <v>126099</v>
      </c>
      <c r="P104">
        <v>128377</v>
      </c>
      <c r="Q104">
        <v>130469</v>
      </c>
      <c r="R104">
        <v>132530</v>
      </c>
      <c r="S104">
        <v>134518</v>
      </c>
    </row>
    <row r="105" spans="1:19" x14ac:dyDescent="0.35">
      <c r="A105" t="s">
        <v>16</v>
      </c>
      <c r="B105" t="s">
        <v>17</v>
      </c>
      <c r="C105" t="s">
        <v>219</v>
      </c>
      <c r="D105" t="s">
        <v>220</v>
      </c>
      <c r="E105" t="str">
        <f>VLOOKUP(C105, Continent!A:B, 2, FALSE)</f>
        <v>Asia</v>
      </c>
      <c r="F105" s="14">
        <f>((Table1[[#This Row],[2024 '[YR2024']]]-Table1[[#This Row],[1990 '[YR1990']]])/Table1[[#This Row],[1990 '[YR1990']]])*100</f>
        <v>25.514641175358044</v>
      </c>
      <c r="G105" s="14">
        <f>((Table1[[#This Row],[2024 '[YR2024']]] / Table1[[#This Row],[1990 '[YR1990']]]) ^ (1 / (2024 - 1990)) - 1) * 100</f>
        <v>0.67062761107172797</v>
      </c>
      <c r="H105">
        <v>21112137</v>
      </c>
      <c r="I105">
        <v>23665910</v>
      </c>
      <c r="J105">
        <v>25575350</v>
      </c>
      <c r="K105">
        <v>25698326</v>
      </c>
      <c r="L105">
        <v>25817709</v>
      </c>
      <c r="M105">
        <v>25931147</v>
      </c>
      <c r="N105">
        <v>26037632</v>
      </c>
      <c r="O105">
        <v>26136312</v>
      </c>
      <c r="P105">
        <v>26232534</v>
      </c>
      <c r="Q105">
        <v>26328845</v>
      </c>
      <c r="R105">
        <v>26418204</v>
      </c>
      <c r="S105">
        <v>26498823</v>
      </c>
    </row>
    <row r="106" spans="1:19" x14ac:dyDescent="0.35">
      <c r="A106" t="s">
        <v>16</v>
      </c>
      <c r="B106" t="s">
        <v>17</v>
      </c>
      <c r="C106" t="s">
        <v>221</v>
      </c>
      <c r="D106" t="s">
        <v>222</v>
      </c>
      <c r="E106" t="str">
        <f>VLOOKUP(C106, Continent!A:B, 2, FALSE)</f>
        <v>Asia</v>
      </c>
      <c r="F106" s="14">
        <f>((Table1[[#This Row],[2024 '[YR2024']]]-Table1[[#This Row],[1990 '[YR1990']]])/Table1[[#This Row],[1990 '[YR1990']]])*100</f>
        <v>20.718289130238077</v>
      </c>
      <c r="G106" s="14">
        <f>((Table1[[#This Row],[2024 '[YR2024']]] / Table1[[#This Row],[1990 '[YR1990']]]) ^ (1 / (2024 - 1990)) - 1) * 100</f>
        <v>0.55532878347077652</v>
      </c>
      <c r="H106">
        <v>42869283</v>
      </c>
      <c r="I106">
        <v>47008111</v>
      </c>
      <c r="J106">
        <v>51014947</v>
      </c>
      <c r="K106">
        <v>51217803</v>
      </c>
      <c r="L106">
        <v>51361911</v>
      </c>
      <c r="M106">
        <v>51585058</v>
      </c>
      <c r="N106">
        <v>51764822</v>
      </c>
      <c r="O106">
        <v>51836239</v>
      </c>
      <c r="P106">
        <v>51769539</v>
      </c>
      <c r="Q106">
        <v>51672569</v>
      </c>
      <c r="R106">
        <v>51712619</v>
      </c>
      <c r="S106">
        <v>51751065</v>
      </c>
    </row>
    <row r="107" spans="1:19" x14ac:dyDescent="0.35">
      <c r="A107" t="s">
        <v>16</v>
      </c>
      <c r="B107" t="s">
        <v>17</v>
      </c>
      <c r="C107" t="s">
        <v>223</v>
      </c>
      <c r="D107" t="s">
        <v>224</v>
      </c>
      <c r="E107" t="str">
        <f>VLOOKUP(C107, Continent!A:B, 2, FALSE)</f>
        <v>Europe</v>
      </c>
      <c r="F107" s="14">
        <f>((Table1[[#This Row],[2024 '[YR2024']]]-Table1[[#This Row],[1990 '[YR1990']]])/Table1[[#This Row],[1990 '[YR1990']]])*100</f>
        <v>-22.619731582387185</v>
      </c>
      <c r="G107" s="14">
        <f>((Table1[[#This Row],[2024 '[YR2024']]] / Table1[[#This Row],[1990 '[YR1990']]]) ^ (1 / (2024 - 1990)) - 1) * 100</f>
        <v>-0.75139331306920409</v>
      </c>
      <c r="H107">
        <v>1973790</v>
      </c>
      <c r="I107">
        <v>1802493</v>
      </c>
      <c r="J107">
        <v>1788274</v>
      </c>
      <c r="K107">
        <v>1777568</v>
      </c>
      <c r="L107">
        <v>1791019</v>
      </c>
      <c r="M107">
        <v>1797086</v>
      </c>
      <c r="N107">
        <v>1788891</v>
      </c>
      <c r="O107">
        <v>1790151</v>
      </c>
      <c r="P107">
        <v>1786079</v>
      </c>
      <c r="Q107">
        <v>1768096</v>
      </c>
      <c r="R107">
        <v>1682668</v>
      </c>
      <c r="S107">
        <v>1527324</v>
      </c>
    </row>
    <row r="108" spans="1:19" x14ac:dyDescent="0.35">
      <c r="A108" t="s">
        <v>16</v>
      </c>
      <c r="B108" t="s">
        <v>17</v>
      </c>
      <c r="C108" t="s">
        <v>225</v>
      </c>
      <c r="D108" t="s">
        <v>226</v>
      </c>
      <c r="E108" t="str">
        <f>VLOOKUP(C108, Continent!A:B, 2, FALSE)</f>
        <v>Asia</v>
      </c>
      <c r="F108" s="14">
        <f>((Table1[[#This Row],[2024 '[YR2024']]]-Table1[[#This Row],[1990 '[YR1990']]])/Table1[[#This Row],[1990 '[YR1990']]])*100</f>
        <v>195.21634074639471</v>
      </c>
      <c r="G108" s="14">
        <f>((Table1[[#This Row],[2024 '[YR2024']]] / Table1[[#This Row],[1990 '[YR1990']]]) ^ (1 / (2024 - 1990)) - 1) * 100</f>
        <v>3.2351655622942621</v>
      </c>
      <c r="H108">
        <v>1684819</v>
      </c>
      <c r="I108">
        <v>1954709</v>
      </c>
      <c r="J108">
        <v>3834574</v>
      </c>
      <c r="K108">
        <v>4004096</v>
      </c>
      <c r="L108">
        <v>4154812</v>
      </c>
      <c r="M108">
        <v>4323515</v>
      </c>
      <c r="N108">
        <v>4442316</v>
      </c>
      <c r="O108">
        <v>4400267</v>
      </c>
      <c r="P108">
        <v>4360865</v>
      </c>
      <c r="Q108">
        <v>4589643</v>
      </c>
      <c r="R108">
        <v>4853420</v>
      </c>
      <c r="S108">
        <v>4973861</v>
      </c>
    </row>
    <row r="109" spans="1:19" x14ac:dyDescent="0.35">
      <c r="A109" t="s">
        <v>16</v>
      </c>
      <c r="B109" t="s">
        <v>17</v>
      </c>
      <c r="C109" t="s">
        <v>227</v>
      </c>
      <c r="D109" t="s">
        <v>228</v>
      </c>
      <c r="E109" t="str">
        <f>VLOOKUP(C109, Continent!A:B, 2, FALSE)</f>
        <v>Asia</v>
      </c>
      <c r="F109" s="14">
        <f>((Table1[[#This Row],[2024 '[YR2024']]]-Table1[[#This Row],[1990 '[YR1990']]])/Table1[[#This Row],[1990 '[YR1990']]])*100</f>
        <v>64.523473573271843</v>
      </c>
      <c r="G109" s="14">
        <f>((Table1[[#This Row],[2024 '[YR2024']]] / Table1[[#This Row],[1990 '[YR1990']]]) ^ (1 / (2024 - 1990)) - 1) * 100</f>
        <v>1.4751362794574785</v>
      </c>
      <c r="H109">
        <v>4391236</v>
      </c>
      <c r="I109">
        <v>4898362</v>
      </c>
      <c r="J109">
        <v>6040036</v>
      </c>
      <c r="K109">
        <v>6175338</v>
      </c>
      <c r="L109">
        <v>6306696</v>
      </c>
      <c r="M109">
        <v>6444079</v>
      </c>
      <c r="N109">
        <v>6590211</v>
      </c>
      <c r="O109">
        <v>6726596</v>
      </c>
      <c r="P109">
        <v>6851224</v>
      </c>
      <c r="Q109">
        <v>6975220</v>
      </c>
      <c r="R109">
        <v>7099750</v>
      </c>
      <c r="S109">
        <v>7224614</v>
      </c>
    </row>
    <row r="110" spans="1:19" x14ac:dyDescent="0.35">
      <c r="A110" t="s">
        <v>16</v>
      </c>
      <c r="B110" t="s">
        <v>17</v>
      </c>
      <c r="C110" t="s">
        <v>229</v>
      </c>
      <c r="D110" t="s">
        <v>230</v>
      </c>
      <c r="E110" t="str">
        <f>VLOOKUP(C110, Continent!A:B, 2, FALSE)</f>
        <v>Asia</v>
      </c>
      <c r="F110" s="14">
        <f>((Table1[[#This Row],[2024 '[YR2024']]]-Table1[[#This Row],[1990 '[YR1990']]])/Table1[[#This Row],[1990 '[YR1990']]])*100</f>
        <v>80.192488094147549</v>
      </c>
      <c r="G110" s="14">
        <f>((Table1[[#This Row],[2024 '[YR2024']]] / Table1[[#This Row],[1990 '[YR1990']]]) ^ (1 / (2024 - 1990)) - 1) * 100</f>
        <v>1.7470126891367288</v>
      </c>
      <c r="H110">
        <v>4311955</v>
      </c>
      <c r="I110">
        <v>5431212</v>
      </c>
      <c r="J110">
        <v>6801645</v>
      </c>
      <c r="K110">
        <v>6908802</v>
      </c>
      <c r="L110">
        <v>7018147</v>
      </c>
      <c r="M110">
        <v>7128045</v>
      </c>
      <c r="N110">
        <v>7237636</v>
      </c>
      <c r="O110">
        <v>7346533</v>
      </c>
      <c r="P110">
        <v>7453194</v>
      </c>
      <c r="Q110">
        <v>7559007</v>
      </c>
      <c r="R110">
        <v>7664993</v>
      </c>
      <c r="S110">
        <v>7769819</v>
      </c>
    </row>
    <row r="111" spans="1:19" x14ac:dyDescent="0.35">
      <c r="A111" t="s">
        <v>16</v>
      </c>
      <c r="B111" t="s">
        <v>17</v>
      </c>
      <c r="C111" t="s">
        <v>231</v>
      </c>
      <c r="D111" t="s">
        <v>232</v>
      </c>
      <c r="E111" t="str">
        <f>VLOOKUP(C111, Continent!A:B, 2, FALSE)</f>
        <v>Europe</v>
      </c>
      <c r="F111" s="14">
        <f>((Table1[[#This Row],[2024 '[YR2024']]]-Table1[[#This Row],[1990 '[YR1990']]])/Table1[[#This Row],[1990 '[YR1990']]])*100</f>
        <v>-30.066263610287216</v>
      </c>
      <c r="G111" s="14">
        <f>((Table1[[#This Row],[2024 '[YR2024']]] / Table1[[#This Row],[1990 '[YR1990']]]) ^ (1 / (2024 - 1990)) - 1) * 100</f>
        <v>-1.0463170745382722</v>
      </c>
      <c r="H111">
        <v>2663151</v>
      </c>
      <c r="I111">
        <v>2367550</v>
      </c>
      <c r="J111">
        <v>1977527</v>
      </c>
      <c r="K111">
        <v>1959537</v>
      </c>
      <c r="L111">
        <v>1942248</v>
      </c>
      <c r="M111">
        <v>1927174</v>
      </c>
      <c r="N111">
        <v>1913822</v>
      </c>
      <c r="O111">
        <v>1900449</v>
      </c>
      <c r="P111">
        <v>1884490</v>
      </c>
      <c r="Q111">
        <v>1879383</v>
      </c>
      <c r="R111">
        <v>1877445</v>
      </c>
      <c r="S111">
        <v>1862441</v>
      </c>
    </row>
    <row r="112" spans="1:19" x14ac:dyDescent="0.35">
      <c r="A112" t="s">
        <v>16</v>
      </c>
      <c r="B112" t="s">
        <v>17</v>
      </c>
      <c r="C112" t="s">
        <v>233</v>
      </c>
      <c r="D112" t="s">
        <v>234</v>
      </c>
      <c r="E112" t="str">
        <f>VLOOKUP(C112, Continent!A:B, 2, FALSE)</f>
        <v>Asia</v>
      </c>
      <c r="F112" s="14">
        <f>((Table1[[#This Row],[2024 '[YR2024']]]-Table1[[#This Row],[1990 '[YR1990']]])/Table1[[#This Row],[1990 '[YR1990']]])*100</f>
        <v>61.493167926456991</v>
      </c>
      <c r="G112" s="14">
        <f>((Table1[[#This Row],[2024 '[YR2024']]] / Table1[[#This Row],[1990 '[YR1990']]]) ^ (1 / (2024 - 1990)) - 1) * 100</f>
        <v>1.4196671730385635</v>
      </c>
      <c r="H112">
        <v>3595175</v>
      </c>
      <c r="I112">
        <v>4329340</v>
      </c>
      <c r="J112">
        <v>6472469</v>
      </c>
      <c r="K112">
        <v>6323060</v>
      </c>
      <c r="L112">
        <v>6160128</v>
      </c>
      <c r="M112">
        <v>5984119</v>
      </c>
      <c r="N112">
        <v>5794594</v>
      </c>
      <c r="O112">
        <v>5702398</v>
      </c>
      <c r="P112">
        <v>5718122</v>
      </c>
      <c r="Q112">
        <v>5744489</v>
      </c>
      <c r="R112">
        <v>5773493</v>
      </c>
      <c r="S112">
        <v>5805962</v>
      </c>
    </row>
    <row r="113" spans="1:19" x14ac:dyDescent="0.35">
      <c r="A113" t="s">
        <v>16</v>
      </c>
      <c r="B113" t="s">
        <v>17</v>
      </c>
      <c r="C113" t="s">
        <v>235</v>
      </c>
      <c r="D113" t="s">
        <v>236</v>
      </c>
      <c r="E113" t="str">
        <f>VLOOKUP(C113, Continent!A:B, 2, FALSE)</f>
        <v>Africa</v>
      </c>
      <c r="F113" s="14">
        <f>((Table1[[#This Row],[2024 '[YR2024']]]-Table1[[#This Row],[1990 '[YR1990']]])/Table1[[#This Row],[1990 '[YR1990']]])*100</f>
        <v>29.161085618800065</v>
      </c>
      <c r="G113" s="14">
        <f>((Table1[[#This Row],[2024 '[YR2024']]] / Table1[[#This Row],[1990 '[YR1990']]]) ^ (1 / (2024 - 1990)) - 1) * 100</f>
        <v>0.75545742142000272</v>
      </c>
      <c r="H113">
        <v>1809696</v>
      </c>
      <c r="I113">
        <v>2003913</v>
      </c>
      <c r="J113">
        <v>2104611</v>
      </c>
      <c r="K113">
        <v>2130422</v>
      </c>
      <c r="L113">
        <v>2157110</v>
      </c>
      <c r="M113">
        <v>2183603</v>
      </c>
      <c r="N113">
        <v>2209405</v>
      </c>
      <c r="O113">
        <v>2235727</v>
      </c>
      <c r="P113">
        <v>2261542</v>
      </c>
      <c r="Q113">
        <v>2286110</v>
      </c>
      <c r="R113">
        <v>2311472</v>
      </c>
      <c r="S113">
        <v>2337423</v>
      </c>
    </row>
    <row r="114" spans="1:19" x14ac:dyDescent="0.35">
      <c r="A114" t="s">
        <v>16</v>
      </c>
      <c r="B114" t="s">
        <v>17</v>
      </c>
      <c r="C114" t="s">
        <v>237</v>
      </c>
      <c r="D114" t="s">
        <v>238</v>
      </c>
      <c r="E114" t="str">
        <f>VLOOKUP(C114, Continent!A:B, 2, FALSE)</f>
        <v>Africa</v>
      </c>
      <c r="F114" s="14">
        <f>((Table1[[#This Row],[2024 '[YR2024']]]-Table1[[#This Row],[1990 '[YR1990']]])/Table1[[#This Row],[1990 '[YR1990']]])*100</f>
        <v>152.41265890980981</v>
      </c>
      <c r="G114" s="14">
        <f>((Table1[[#This Row],[2024 '[YR2024']]] / Table1[[#This Row],[1990 '[YR1990']]]) ^ (1 / (2024 - 1990)) - 1) * 100</f>
        <v>2.76063942596394</v>
      </c>
      <c r="H114">
        <v>2223667</v>
      </c>
      <c r="I114">
        <v>2928117</v>
      </c>
      <c r="J114">
        <v>4659431</v>
      </c>
      <c r="K114">
        <v>4755608</v>
      </c>
      <c r="L114">
        <v>4848925</v>
      </c>
      <c r="M114">
        <v>4944726</v>
      </c>
      <c r="N114">
        <v>5043721</v>
      </c>
      <c r="O114">
        <v>5149463</v>
      </c>
      <c r="P114">
        <v>5259323</v>
      </c>
      <c r="Q114">
        <v>5373294</v>
      </c>
      <c r="R114">
        <v>5493031</v>
      </c>
      <c r="S114">
        <v>5612817</v>
      </c>
    </row>
    <row r="115" spans="1:19" x14ac:dyDescent="0.35">
      <c r="A115" t="s">
        <v>16</v>
      </c>
      <c r="B115" t="s">
        <v>17</v>
      </c>
      <c r="C115" t="s">
        <v>239</v>
      </c>
      <c r="D115" t="s">
        <v>240</v>
      </c>
      <c r="E115" t="str">
        <f>VLOOKUP(C115, Continent!A:B, 2, FALSE)</f>
        <v>Africa</v>
      </c>
      <c r="F115" s="14">
        <f>((Table1[[#This Row],[2024 '[YR2024']]]-Table1[[#This Row],[1990 '[YR1990']]])/Table1[[#This Row],[1990 '[YR1990']]])*100</f>
        <v>66.043333103124496</v>
      </c>
      <c r="G115" s="14">
        <f>((Table1[[#This Row],[2024 '[YR2024']]] / Table1[[#This Row],[1990 '[YR1990']]]) ^ (1 / (2024 - 1990)) - 1) * 100</f>
        <v>1.5025846596718795</v>
      </c>
      <c r="H115">
        <v>4445239</v>
      </c>
      <c r="I115">
        <v>5305021</v>
      </c>
      <c r="J115">
        <v>6531819</v>
      </c>
      <c r="K115">
        <v>6632126</v>
      </c>
      <c r="L115">
        <v>6738770</v>
      </c>
      <c r="M115">
        <v>6849055</v>
      </c>
      <c r="N115">
        <v>6951033</v>
      </c>
      <c r="O115">
        <v>7045399</v>
      </c>
      <c r="P115">
        <v>7135175</v>
      </c>
      <c r="Q115">
        <v>7223805</v>
      </c>
      <c r="R115">
        <v>7305659</v>
      </c>
      <c r="S115">
        <v>7381023</v>
      </c>
    </row>
    <row r="116" spans="1:19" x14ac:dyDescent="0.35">
      <c r="A116" t="s">
        <v>16</v>
      </c>
      <c r="B116" t="s">
        <v>17</v>
      </c>
      <c r="C116" t="s">
        <v>241</v>
      </c>
      <c r="D116" t="s">
        <v>242</v>
      </c>
      <c r="E116" t="str">
        <f>VLOOKUP(C116, Continent!A:B, 2, FALSE)</f>
        <v>Europe</v>
      </c>
      <c r="F116" s="14">
        <f>((Table1[[#This Row],[2024 '[YR2024']]]-Table1[[#This Row],[1990 '[YR1990']]])/Table1[[#This Row],[1990 '[YR1990']]])*100</f>
        <v>39.854568227680751</v>
      </c>
      <c r="G116" s="14">
        <f>((Table1[[#This Row],[2024 '[YR2024']]] / Table1[[#This Row],[1990 '[YR1990']]]) ^ (1 / (2024 - 1990)) - 1) * 100</f>
        <v>0.99144996723428136</v>
      </c>
      <c r="H116">
        <v>28742</v>
      </c>
      <c r="I116">
        <v>32645</v>
      </c>
      <c r="J116">
        <v>37494</v>
      </c>
      <c r="K116">
        <v>37716</v>
      </c>
      <c r="L116">
        <v>37962</v>
      </c>
      <c r="M116">
        <v>38246</v>
      </c>
      <c r="N116">
        <v>38563</v>
      </c>
      <c r="O116">
        <v>38901</v>
      </c>
      <c r="P116">
        <v>39182</v>
      </c>
      <c r="Q116">
        <v>39493</v>
      </c>
      <c r="R116">
        <v>39850</v>
      </c>
      <c r="S116">
        <v>40197</v>
      </c>
    </row>
    <row r="117" spans="1:19" x14ac:dyDescent="0.35">
      <c r="A117" t="s">
        <v>16</v>
      </c>
      <c r="B117" t="s">
        <v>17</v>
      </c>
      <c r="C117" t="s">
        <v>243</v>
      </c>
      <c r="D117" t="s">
        <v>244</v>
      </c>
      <c r="E117" t="str">
        <f>VLOOKUP(C117, Continent!A:B, 2, FALSE)</f>
        <v>Europe</v>
      </c>
      <c r="F117" s="14">
        <f>((Table1[[#This Row],[2024 '[YR2024']]]-Table1[[#This Row],[1990 '[YR1990']]])/Table1[[#This Row],[1990 '[YR1990']]])*100</f>
        <v>-21.898823042004544</v>
      </c>
      <c r="G117" s="14">
        <f>((Table1[[#This Row],[2024 '[YR2024']]] / Table1[[#This Row],[1990 '[YR1990']]]) ^ (1 / (2024 - 1990)) - 1) * 100</f>
        <v>-0.72432012265949419</v>
      </c>
      <c r="H117">
        <v>3697838</v>
      </c>
      <c r="I117">
        <v>3499536</v>
      </c>
      <c r="J117">
        <v>2911109</v>
      </c>
      <c r="K117">
        <v>2877325</v>
      </c>
      <c r="L117">
        <v>2842639</v>
      </c>
      <c r="M117">
        <v>2819200</v>
      </c>
      <c r="N117">
        <v>2811089</v>
      </c>
      <c r="O117">
        <v>2810369</v>
      </c>
      <c r="P117">
        <v>2808380</v>
      </c>
      <c r="Q117">
        <v>2831639</v>
      </c>
      <c r="R117">
        <v>2871585</v>
      </c>
      <c r="S117">
        <v>2888055</v>
      </c>
    </row>
    <row r="118" spans="1:19" x14ac:dyDescent="0.35">
      <c r="A118" t="s">
        <v>16</v>
      </c>
      <c r="B118" t="s">
        <v>17</v>
      </c>
      <c r="C118" t="s">
        <v>245</v>
      </c>
      <c r="D118" t="s">
        <v>246</v>
      </c>
      <c r="E118" t="str">
        <f>VLOOKUP(C118, Continent!A:B, 2, FALSE)</f>
        <v>Europe</v>
      </c>
      <c r="F118" s="14">
        <f>((Table1[[#This Row],[2024 '[YR2024']]]-Table1[[#This Row],[1990 '[YR1990']]])/Table1[[#This Row],[1990 '[YR1990']]])*100</f>
        <v>77.482519313866703</v>
      </c>
      <c r="G118" s="14">
        <f>((Table1[[#This Row],[2024 '[YR2024']]] / Table1[[#This Row],[1990 '[YR1990']]]) ^ (1 / (2024 - 1990)) - 1) * 100</f>
        <v>1.7016749382537721</v>
      </c>
      <c r="H118">
        <v>381850</v>
      </c>
      <c r="I118">
        <v>436300</v>
      </c>
      <c r="J118">
        <v>569604</v>
      </c>
      <c r="K118">
        <v>582014</v>
      </c>
      <c r="L118">
        <v>596336</v>
      </c>
      <c r="M118">
        <v>607950</v>
      </c>
      <c r="N118">
        <v>620001</v>
      </c>
      <c r="O118">
        <v>630419</v>
      </c>
      <c r="P118">
        <v>640064</v>
      </c>
      <c r="Q118">
        <v>653103</v>
      </c>
      <c r="R118">
        <v>666430</v>
      </c>
      <c r="S118">
        <v>677717</v>
      </c>
    </row>
    <row r="119" spans="1:19" x14ac:dyDescent="0.35">
      <c r="A119" t="s">
        <v>16</v>
      </c>
      <c r="B119" t="s">
        <v>17</v>
      </c>
      <c r="C119" t="s">
        <v>247</v>
      </c>
      <c r="D119" t="s">
        <v>248</v>
      </c>
      <c r="E119" t="str">
        <f>VLOOKUP(C119, Continent!A:B, 2, FALSE)</f>
        <v>Asia</v>
      </c>
      <c r="F119" s="14">
        <f>((Table1[[#This Row],[2024 '[YR2024']]]-Table1[[#This Row],[1990 '[YR1990']]])/Table1[[#This Row],[1990 '[YR1990']]])*100</f>
        <v>105.1052395879982</v>
      </c>
      <c r="G119" s="14">
        <f>((Table1[[#This Row],[2024 '[YR2024']]] / Table1[[#This Row],[1990 '[YR1990']]]) ^ (1 / (2024 - 1990)) - 1) * 100</f>
        <v>2.1352807225181847</v>
      </c>
      <c r="H119">
        <v>334950</v>
      </c>
      <c r="I119">
        <v>430600</v>
      </c>
      <c r="J119">
        <v>642900</v>
      </c>
      <c r="K119">
        <v>652500</v>
      </c>
      <c r="L119">
        <v>648400</v>
      </c>
      <c r="M119">
        <v>658900</v>
      </c>
      <c r="N119">
        <v>672000</v>
      </c>
      <c r="O119">
        <v>685400</v>
      </c>
      <c r="P119">
        <v>682500</v>
      </c>
      <c r="Q119">
        <v>677300</v>
      </c>
      <c r="R119">
        <v>678800</v>
      </c>
      <c r="S119">
        <v>687000</v>
      </c>
    </row>
    <row r="120" spans="1:19" x14ac:dyDescent="0.35">
      <c r="A120" t="s">
        <v>16</v>
      </c>
      <c r="B120" t="s">
        <v>17</v>
      </c>
      <c r="C120" t="s">
        <v>249</v>
      </c>
      <c r="D120" t="s">
        <v>250</v>
      </c>
      <c r="E120" t="str">
        <f>VLOOKUP(C120, Continent!A:B, 2, FALSE)</f>
        <v>Africa</v>
      </c>
      <c r="F120" s="14">
        <f>((Table1[[#This Row],[2024 '[YR2024']]]-Table1[[#This Row],[1990 '[YR1990']]])/Table1[[#This Row],[1990 '[YR1990']]])*100</f>
        <v>165.14526521572188</v>
      </c>
      <c r="G120" s="14">
        <f>((Table1[[#This Row],[2024 '[YR2024']]] / Table1[[#This Row],[1990 '[YR1990']]]) ^ (1 / (2024 - 1990)) - 1) * 100</f>
        <v>2.9094857817951958</v>
      </c>
      <c r="H120">
        <v>12055639</v>
      </c>
      <c r="I120">
        <v>16516338</v>
      </c>
      <c r="J120">
        <v>25426702</v>
      </c>
      <c r="K120">
        <v>26099952</v>
      </c>
      <c r="L120">
        <v>26788375</v>
      </c>
      <c r="M120">
        <v>27494926</v>
      </c>
      <c r="N120">
        <v>28219554</v>
      </c>
      <c r="O120">
        <v>28953556</v>
      </c>
      <c r="P120">
        <v>29691083</v>
      </c>
      <c r="Q120">
        <v>30437261</v>
      </c>
      <c r="R120">
        <v>31195932</v>
      </c>
      <c r="S120">
        <v>31964956</v>
      </c>
    </row>
    <row r="121" spans="1:19" x14ac:dyDescent="0.35">
      <c r="A121" t="s">
        <v>16</v>
      </c>
      <c r="B121" t="s">
        <v>17</v>
      </c>
      <c r="C121" t="s">
        <v>251</v>
      </c>
      <c r="D121" t="s">
        <v>252</v>
      </c>
      <c r="E121" t="str">
        <f>VLOOKUP(C121, Continent!A:B, 2, FALSE)</f>
        <v>Africa</v>
      </c>
      <c r="F121" s="14">
        <f>((Table1[[#This Row],[2024 '[YR2024']]]-Table1[[#This Row],[1990 '[YR1990']]])/Table1[[#This Row],[1990 '[YR1990']]])*100</f>
        <v>126.85545512333525</v>
      </c>
      <c r="G121" s="14">
        <f>((Table1[[#This Row],[2024 '[YR2024']]] / Table1[[#This Row],[1990 '[YR1990']]]) ^ (1 / (2024 - 1990)) - 1) * 100</f>
        <v>2.4385004865220772</v>
      </c>
      <c r="H121">
        <v>9545852</v>
      </c>
      <c r="I121">
        <v>11315942</v>
      </c>
      <c r="J121">
        <v>17085587</v>
      </c>
      <c r="K121">
        <v>17557739</v>
      </c>
      <c r="L121">
        <v>18039715</v>
      </c>
      <c r="M121">
        <v>18528081</v>
      </c>
      <c r="N121">
        <v>19025752</v>
      </c>
      <c r="O121">
        <v>19533888</v>
      </c>
      <c r="P121">
        <v>20047258</v>
      </c>
      <c r="Q121">
        <v>20568728</v>
      </c>
      <c r="R121">
        <v>21104482</v>
      </c>
      <c r="S121">
        <v>21655286</v>
      </c>
    </row>
    <row r="122" spans="1:19" x14ac:dyDescent="0.35">
      <c r="A122" t="s">
        <v>16</v>
      </c>
      <c r="B122" t="s">
        <v>17</v>
      </c>
      <c r="C122" t="s">
        <v>253</v>
      </c>
      <c r="D122" t="s">
        <v>254</v>
      </c>
      <c r="E122" t="str">
        <f>VLOOKUP(C122, Continent!A:B, 2, FALSE)</f>
        <v>Asia</v>
      </c>
      <c r="F122" s="14">
        <f>((Table1[[#This Row],[2024 '[YR2024']]]-Table1[[#This Row],[1990 '[YR1990']]])/Table1[[#This Row],[1990 '[YR1990']]])*100</f>
        <v>99.390635574570567</v>
      </c>
      <c r="G122" s="14">
        <f>((Table1[[#This Row],[2024 '[YR2024']]] / Table1[[#This Row],[1990 '[YR1990']]]) ^ (1 / (2024 - 1990)) - 1) * 100</f>
        <v>2.050431601328051</v>
      </c>
      <c r="H122">
        <v>17833171</v>
      </c>
      <c r="I122">
        <v>22967816</v>
      </c>
      <c r="J122">
        <v>31232798</v>
      </c>
      <c r="K122">
        <v>31789685</v>
      </c>
      <c r="L122">
        <v>32355644</v>
      </c>
      <c r="M122">
        <v>32910967</v>
      </c>
      <c r="N122">
        <v>33440596</v>
      </c>
      <c r="O122">
        <v>33889558</v>
      </c>
      <c r="P122">
        <v>34282399</v>
      </c>
      <c r="Q122">
        <v>34695493</v>
      </c>
      <c r="R122">
        <v>35126298</v>
      </c>
      <c r="S122">
        <v>35557673</v>
      </c>
    </row>
    <row r="123" spans="1:19" x14ac:dyDescent="0.35">
      <c r="A123" t="s">
        <v>16</v>
      </c>
      <c r="B123" t="s">
        <v>17</v>
      </c>
      <c r="C123" t="s">
        <v>255</v>
      </c>
      <c r="D123" t="s">
        <v>256</v>
      </c>
      <c r="E123" t="str">
        <f>VLOOKUP(C123, Continent!A:B, 2, FALSE)</f>
        <v>Asia</v>
      </c>
      <c r="F123" s="14">
        <f>((Table1[[#This Row],[2024 '[YR2024']]]-Table1[[#This Row],[1990 '[YR1990']]])/Table1[[#This Row],[1990 '[YR1990']]])*100</f>
        <v>134.82572676875984</v>
      </c>
      <c r="G123" s="14">
        <f>((Table1[[#This Row],[2024 '[YR2024']]] / Table1[[#This Row],[1990 '[YR1990']]]) ^ (1 / (2024 - 1990)) - 1) * 100</f>
        <v>2.5425904715826286</v>
      </c>
      <c r="H123">
        <v>224762</v>
      </c>
      <c r="I123">
        <v>282019</v>
      </c>
      <c r="J123">
        <v>428154</v>
      </c>
      <c r="K123">
        <v>443308</v>
      </c>
      <c r="L123">
        <v>458287</v>
      </c>
      <c r="M123">
        <v>473099</v>
      </c>
      <c r="N123">
        <v>487731</v>
      </c>
      <c r="O123">
        <v>502118</v>
      </c>
      <c r="P123">
        <v>516154</v>
      </c>
      <c r="Q123">
        <v>524106</v>
      </c>
      <c r="R123">
        <v>525994</v>
      </c>
      <c r="S123">
        <v>527799</v>
      </c>
    </row>
    <row r="124" spans="1:19" x14ac:dyDescent="0.35">
      <c r="A124" t="s">
        <v>16</v>
      </c>
      <c r="B124" t="s">
        <v>17</v>
      </c>
      <c r="C124" t="s">
        <v>257</v>
      </c>
      <c r="D124" t="s">
        <v>258</v>
      </c>
      <c r="E124" t="str">
        <f>VLOOKUP(C124, Continent!A:B, 2, FALSE)</f>
        <v>Africa</v>
      </c>
      <c r="F124" s="14">
        <f>((Table1[[#This Row],[2024 '[YR2024']]]-Table1[[#This Row],[1990 '[YR1990']]])/Table1[[#This Row],[1990 '[YR1990']]])*100</f>
        <v>166.68535096521015</v>
      </c>
      <c r="G124" s="14">
        <f>((Table1[[#This Row],[2024 '[YR2024']]] / Table1[[#This Row],[1990 '[YR1990']]]) ^ (1 / (2024 - 1990)) - 1) * 100</f>
        <v>2.9270171680400026</v>
      </c>
      <c r="H124">
        <v>9178830</v>
      </c>
      <c r="I124">
        <v>11559290</v>
      </c>
      <c r="J124">
        <v>18593022</v>
      </c>
      <c r="K124">
        <v>19191289</v>
      </c>
      <c r="L124">
        <v>19813011</v>
      </c>
      <c r="M124">
        <v>20442030</v>
      </c>
      <c r="N124">
        <v>21068405</v>
      </c>
      <c r="O124">
        <v>21713836</v>
      </c>
      <c r="P124">
        <v>22388630</v>
      </c>
      <c r="Q124">
        <v>23072640</v>
      </c>
      <c r="R124">
        <v>23769127</v>
      </c>
      <c r="S124">
        <v>24478595</v>
      </c>
    </row>
    <row r="125" spans="1:19" x14ac:dyDescent="0.35">
      <c r="A125" t="s">
        <v>16</v>
      </c>
      <c r="B125" t="s">
        <v>17</v>
      </c>
      <c r="C125" t="s">
        <v>259</v>
      </c>
      <c r="D125" t="s">
        <v>260</v>
      </c>
      <c r="E125" t="str">
        <f>VLOOKUP(C125, Continent!A:B, 2, FALSE)</f>
        <v>Europe</v>
      </c>
      <c r="F125" s="14">
        <f>((Table1[[#This Row],[2024 '[YR2024']]]-Table1[[#This Row],[1990 '[YR1990']]])/Table1[[#This Row],[1990 '[YR1990']]])*100</f>
        <v>62.166756077589859</v>
      </c>
      <c r="G125" s="14">
        <f>((Table1[[#This Row],[2024 '[YR2024']]] / Table1[[#This Row],[1990 '[YR1990']]]) ^ (1 / (2024 - 1990)) - 1) * 100</f>
        <v>1.4320838671294078</v>
      </c>
      <c r="H125">
        <v>354170</v>
      </c>
      <c r="I125">
        <v>390087</v>
      </c>
      <c r="J125">
        <v>444220</v>
      </c>
      <c r="K125">
        <v>454505</v>
      </c>
      <c r="L125">
        <v>467106</v>
      </c>
      <c r="M125">
        <v>483903</v>
      </c>
      <c r="N125">
        <v>503912</v>
      </c>
      <c r="O125">
        <v>515490</v>
      </c>
      <c r="P125">
        <v>518150</v>
      </c>
      <c r="Q125">
        <v>531113</v>
      </c>
      <c r="R125">
        <v>552747</v>
      </c>
      <c r="S125">
        <v>574346</v>
      </c>
    </row>
    <row r="126" spans="1:19" x14ac:dyDescent="0.35">
      <c r="A126" t="s">
        <v>16</v>
      </c>
      <c r="B126" t="s">
        <v>17</v>
      </c>
      <c r="C126" t="s">
        <v>261</v>
      </c>
      <c r="D126" t="s">
        <v>262</v>
      </c>
      <c r="E126" t="str">
        <f>VLOOKUP(C126, Continent!A:B, 2, FALSE)</f>
        <v>Oceania</v>
      </c>
      <c r="F126" s="14">
        <f>((Table1[[#This Row],[2024 '[YR2024']]]-Table1[[#This Row],[1990 '[YR1990']]])/Table1[[#This Row],[1990 '[YR1990']]])*100</f>
        <v>-15.866364919671067</v>
      </c>
      <c r="G126" s="14">
        <f>((Table1[[#This Row],[2024 '[YR2024']]] / Table1[[#This Row],[1990 '[YR1990']]]) ^ (1 / (2024 - 1990)) - 1) * 100</f>
        <v>-0.5068399083759223</v>
      </c>
      <c r="H126">
        <v>44629</v>
      </c>
      <c r="I126">
        <v>50706</v>
      </c>
      <c r="J126">
        <v>48800</v>
      </c>
      <c r="K126">
        <v>47709</v>
      </c>
      <c r="L126">
        <v>46529</v>
      </c>
      <c r="M126">
        <v>45285</v>
      </c>
      <c r="N126">
        <v>44007</v>
      </c>
      <c r="O126">
        <v>42706</v>
      </c>
      <c r="P126">
        <v>41367</v>
      </c>
      <c r="Q126">
        <v>40077</v>
      </c>
      <c r="R126">
        <v>38827</v>
      </c>
      <c r="S126">
        <v>37548</v>
      </c>
    </row>
    <row r="127" spans="1:19" x14ac:dyDescent="0.35">
      <c r="A127" t="s">
        <v>16</v>
      </c>
      <c r="B127" t="s">
        <v>17</v>
      </c>
      <c r="C127" t="s">
        <v>263</v>
      </c>
      <c r="D127" t="s">
        <v>264</v>
      </c>
      <c r="E127" t="str">
        <f>VLOOKUP(C127, Continent!A:B, 2, FALSE)</f>
        <v>Africa</v>
      </c>
      <c r="F127" s="14">
        <f>((Table1[[#This Row],[2024 '[YR2024']]]-Table1[[#This Row],[1990 '[YR1990']]])/Table1[[#This Row],[1990 '[YR1990']]])*100</f>
        <v>164.84211615684995</v>
      </c>
      <c r="G127" s="14">
        <f>((Table1[[#This Row],[2024 '[YR2024']]] / Table1[[#This Row],[1990 '[YR1990']]]) ^ (1 / (2024 - 1990)) - 1) * 100</f>
        <v>2.906023280674197</v>
      </c>
      <c r="H127">
        <v>1951878</v>
      </c>
      <c r="I127">
        <v>2613441</v>
      </c>
      <c r="J127">
        <v>3965959</v>
      </c>
      <c r="K127">
        <v>4086657</v>
      </c>
      <c r="L127">
        <v>4210600</v>
      </c>
      <c r="M127">
        <v>4337685</v>
      </c>
      <c r="N127">
        <v>4467708</v>
      </c>
      <c r="O127">
        <v>4600131</v>
      </c>
      <c r="P127">
        <v>4734874</v>
      </c>
      <c r="Q127">
        <v>4875637</v>
      </c>
      <c r="R127">
        <v>5022441</v>
      </c>
      <c r="S127">
        <v>5169395</v>
      </c>
    </row>
    <row r="128" spans="1:19" x14ac:dyDescent="0.35">
      <c r="A128" t="s">
        <v>16</v>
      </c>
      <c r="B128" t="s">
        <v>17</v>
      </c>
      <c r="C128" t="s">
        <v>265</v>
      </c>
      <c r="D128" t="s">
        <v>266</v>
      </c>
      <c r="E128" t="str">
        <f>VLOOKUP(C128, Continent!A:B, 2, FALSE)</f>
        <v>Africa</v>
      </c>
      <c r="F128" s="14">
        <f>((Table1[[#This Row],[2024 '[YR2024']]]-Table1[[#This Row],[1990 '[YR1990']]])/Table1[[#This Row],[1990 '[YR1990']]])*100</f>
        <v>18.959080068947603</v>
      </c>
      <c r="G128" s="14">
        <f>((Table1[[#This Row],[2024 '[YR2024']]] / Table1[[#This Row],[1990 '[YR1990']]]) ^ (1 / (2024 - 1990)) - 1) * 100</f>
        <v>0.51192169676168575</v>
      </c>
      <c r="H128">
        <v>1058775</v>
      </c>
      <c r="I128">
        <v>1186873</v>
      </c>
      <c r="J128">
        <v>1262879</v>
      </c>
      <c r="K128">
        <v>1263747</v>
      </c>
      <c r="L128">
        <v>1264887</v>
      </c>
      <c r="M128">
        <v>1265577</v>
      </c>
      <c r="N128">
        <v>1265985</v>
      </c>
      <c r="O128">
        <v>1266014</v>
      </c>
      <c r="P128">
        <v>1266334</v>
      </c>
      <c r="Q128">
        <v>1262523</v>
      </c>
      <c r="R128">
        <v>1261041</v>
      </c>
      <c r="S128">
        <v>1259509</v>
      </c>
    </row>
    <row r="129" spans="1:19" x14ac:dyDescent="0.35">
      <c r="A129" t="s">
        <v>16</v>
      </c>
      <c r="B129" t="s">
        <v>17</v>
      </c>
      <c r="C129" t="s">
        <v>267</v>
      </c>
      <c r="D129" t="s">
        <v>268</v>
      </c>
      <c r="E129" t="str">
        <f>VLOOKUP(C129, Continent!A:B, 2, FALSE)</f>
        <v>North America</v>
      </c>
      <c r="F129" s="14">
        <f>((Table1[[#This Row],[2024 '[YR2024']]]-Table1[[#This Row],[1990 '[YR1990']]])/Table1[[#This Row],[1990 '[YR1990']]])*100</f>
        <v>58.006204285743436</v>
      </c>
      <c r="G129" s="14">
        <f>((Table1[[#This Row],[2024 '[YR2024']]] / Table1[[#This Row],[1990 '[YR1990']]]) ^ (1 / (2024 - 1990)) - 1) * 100</f>
        <v>1.3545750391636524</v>
      </c>
      <c r="H129">
        <v>82820170</v>
      </c>
      <c r="I129">
        <v>98625552</v>
      </c>
      <c r="J129">
        <v>121072306</v>
      </c>
      <c r="K129">
        <v>122251351</v>
      </c>
      <c r="L129">
        <v>123400057</v>
      </c>
      <c r="M129">
        <v>124573711</v>
      </c>
      <c r="N129">
        <v>125762982</v>
      </c>
      <c r="O129">
        <v>126799054</v>
      </c>
      <c r="P129">
        <v>127648148</v>
      </c>
      <c r="Q129">
        <v>128613117</v>
      </c>
      <c r="R129">
        <v>129739759</v>
      </c>
      <c r="S129">
        <v>130861007</v>
      </c>
    </row>
    <row r="130" spans="1:19" x14ac:dyDescent="0.35">
      <c r="A130" t="s">
        <v>16</v>
      </c>
      <c r="B130" t="s">
        <v>17</v>
      </c>
      <c r="C130" t="s">
        <v>269</v>
      </c>
      <c r="D130" t="s">
        <v>270</v>
      </c>
      <c r="E130" t="str">
        <f>VLOOKUP(C130, Continent!A:B, 2, FALSE)</f>
        <v>Oceania</v>
      </c>
      <c r="F130" s="14">
        <f>((Table1[[#This Row],[2024 '[YR2024']]]-Table1[[#This Row],[1990 '[YR1990']]])/Table1[[#This Row],[1990 '[YR1990']]])*100</f>
        <v>12.163983823646022</v>
      </c>
      <c r="G130" s="14">
        <f>((Table1[[#This Row],[2024 '[YR2024']]] / Table1[[#This Row],[1990 '[YR1990']]]) ^ (1 / (2024 - 1990)) - 1) * 100</f>
        <v>0.33819339889409328</v>
      </c>
      <c r="H130">
        <v>100888</v>
      </c>
      <c r="I130">
        <v>112044</v>
      </c>
      <c r="J130">
        <v>108716</v>
      </c>
      <c r="K130">
        <v>109075</v>
      </c>
      <c r="L130">
        <v>109481</v>
      </c>
      <c r="M130">
        <v>109909</v>
      </c>
      <c r="N130">
        <v>110282</v>
      </c>
      <c r="O130">
        <v>110916</v>
      </c>
      <c r="P130">
        <v>111624</v>
      </c>
      <c r="Q130">
        <v>112114</v>
      </c>
      <c r="R130">
        <v>112630</v>
      </c>
      <c r="S130">
        <v>113160</v>
      </c>
    </row>
    <row r="131" spans="1:19" x14ac:dyDescent="0.35">
      <c r="A131" t="s">
        <v>16</v>
      </c>
      <c r="B131" t="s">
        <v>17</v>
      </c>
      <c r="C131" t="s">
        <v>271</v>
      </c>
      <c r="D131" t="s">
        <v>272</v>
      </c>
      <c r="E131" t="str">
        <f>VLOOKUP(C131, Continent!A:B, 2, FALSE)</f>
        <v>Europe</v>
      </c>
      <c r="F131" s="14">
        <f>((Table1[[#This Row],[2024 '[YR2024']]]-Table1[[#This Row],[1990 '[YR1990']]])/Table1[[#This Row],[1990 '[YR1990']]])*100</f>
        <v>-19.766769468003083</v>
      </c>
      <c r="G131" s="14">
        <f>((Table1[[#This Row],[2024 '[YR2024']]] / Table1[[#This Row],[1990 '[YR1990']]]) ^ (1 / (2024 - 1990)) - 1) * 100</f>
        <v>-0.64564905696821162</v>
      </c>
      <c r="H131">
        <v>2977912</v>
      </c>
      <c r="I131">
        <v>2924668</v>
      </c>
      <c r="J131">
        <v>2835978</v>
      </c>
      <c r="K131">
        <v>2803186</v>
      </c>
      <c r="L131">
        <v>2755189</v>
      </c>
      <c r="M131">
        <v>2707203</v>
      </c>
      <c r="N131">
        <v>2664224</v>
      </c>
      <c r="O131">
        <v>2635130</v>
      </c>
      <c r="P131">
        <v>2595809</v>
      </c>
      <c r="Q131">
        <v>2528654</v>
      </c>
      <c r="R131">
        <v>2457783</v>
      </c>
      <c r="S131">
        <v>2389275</v>
      </c>
    </row>
    <row r="132" spans="1:19" x14ac:dyDescent="0.35">
      <c r="A132" t="s">
        <v>16</v>
      </c>
      <c r="B132" t="s">
        <v>17</v>
      </c>
      <c r="C132" t="s">
        <v>273</v>
      </c>
      <c r="D132" t="s">
        <v>274</v>
      </c>
      <c r="E132" t="str">
        <f>VLOOKUP(C132, Continent!A:B, 2, FALSE)</f>
        <v>Europe</v>
      </c>
      <c r="F132" s="14">
        <f>((Table1[[#This Row],[2024 '[YR2024']]]-Table1[[#This Row],[1990 '[YR1990']]])/Table1[[#This Row],[1990 '[YR1990']]])*100</f>
        <v>27.251465840964489</v>
      </c>
      <c r="G132" s="14">
        <f>((Table1[[#This Row],[2024 '[YR2024']]] / Table1[[#This Row],[1990 '[YR1990']]]) ^ (1 / (2024 - 1990)) - 1) * 100</f>
        <v>0.71132678570478003</v>
      </c>
      <c r="H132">
        <v>30358</v>
      </c>
      <c r="I132">
        <v>32455</v>
      </c>
      <c r="J132">
        <v>36757</v>
      </c>
      <c r="K132">
        <v>37276</v>
      </c>
      <c r="L132">
        <v>37678</v>
      </c>
      <c r="M132">
        <v>38154</v>
      </c>
      <c r="N132">
        <v>38109</v>
      </c>
      <c r="O132">
        <v>38050</v>
      </c>
      <c r="P132">
        <v>38527</v>
      </c>
      <c r="Q132">
        <v>38931</v>
      </c>
      <c r="R132">
        <v>38956</v>
      </c>
      <c r="S132">
        <v>38631</v>
      </c>
    </row>
    <row r="133" spans="1:19" x14ac:dyDescent="0.35">
      <c r="A133" t="s">
        <v>16</v>
      </c>
      <c r="B133" t="s">
        <v>17</v>
      </c>
      <c r="C133" t="s">
        <v>275</v>
      </c>
      <c r="D133" t="s">
        <v>276</v>
      </c>
      <c r="E133" t="str">
        <f>VLOOKUP(C133, Continent!A:B, 2, FALSE)</f>
        <v>Asia</v>
      </c>
      <c r="F133" s="14">
        <f>((Table1[[#This Row],[2024 '[YR2024']]]-Table1[[#This Row],[1990 '[YR1990']]])/Table1[[#This Row],[1990 '[YR1990']]])*100</f>
        <v>67.950217038085299</v>
      </c>
      <c r="G133" s="14">
        <f>((Table1[[#This Row],[2024 '[YR2024']]] / Table1[[#This Row],[1990 '[YR1990']]]) ^ (1 / (2024 - 1990)) - 1) * 100</f>
        <v>1.5366797628475704</v>
      </c>
      <c r="H133">
        <v>2098710</v>
      </c>
      <c r="I133">
        <v>2388299</v>
      </c>
      <c r="J133">
        <v>3026864</v>
      </c>
      <c r="K133">
        <v>3088856</v>
      </c>
      <c r="L133">
        <v>3148917</v>
      </c>
      <c r="M133">
        <v>3208189</v>
      </c>
      <c r="N133">
        <v>3267673</v>
      </c>
      <c r="O133">
        <v>3327204</v>
      </c>
      <c r="P133">
        <v>3383741</v>
      </c>
      <c r="Q133">
        <v>3433748</v>
      </c>
      <c r="R133">
        <v>3481145</v>
      </c>
      <c r="S133">
        <v>3524788</v>
      </c>
    </row>
    <row r="134" spans="1:19" x14ac:dyDescent="0.35">
      <c r="A134" t="s">
        <v>16</v>
      </c>
      <c r="B134" t="s">
        <v>17</v>
      </c>
      <c r="C134" t="s">
        <v>277</v>
      </c>
      <c r="D134" t="s">
        <v>278</v>
      </c>
      <c r="E134" t="str">
        <f>VLOOKUP(C134, Continent!A:B, 2, FALSE)</f>
        <v>Europe</v>
      </c>
      <c r="F134" s="14">
        <f>((Table1[[#This Row],[2024 '[YR2024']]]-Table1[[#This Row],[1990 '[YR1990']]])/Table1[[#This Row],[1990 '[YR1990']]])*100</f>
        <v>2.8792556384529626</v>
      </c>
      <c r="G134" s="14">
        <f>((Table1[[#This Row],[2024 '[YR2024']]] / Table1[[#This Row],[1990 '[YR1990']]]) ^ (1 / (2024 - 1990)) - 1) * 100</f>
        <v>8.3522623187626266E-2</v>
      </c>
      <c r="H134">
        <v>606372</v>
      </c>
      <c r="I134">
        <v>604950</v>
      </c>
      <c r="J134">
        <v>624651</v>
      </c>
      <c r="K134">
        <v>625353</v>
      </c>
      <c r="L134">
        <v>625982</v>
      </c>
      <c r="M134">
        <v>626438</v>
      </c>
      <c r="N134">
        <v>626753</v>
      </c>
      <c r="O134">
        <v>626590</v>
      </c>
      <c r="P134">
        <v>625053</v>
      </c>
      <c r="Q134">
        <v>623591</v>
      </c>
      <c r="R134">
        <v>623529</v>
      </c>
      <c r="S134">
        <v>623831</v>
      </c>
    </row>
    <row r="135" spans="1:19" x14ac:dyDescent="0.35">
      <c r="A135" t="s">
        <v>16</v>
      </c>
      <c r="B135" t="s">
        <v>17</v>
      </c>
      <c r="C135" t="s">
        <v>279</v>
      </c>
      <c r="D135" t="s">
        <v>280</v>
      </c>
      <c r="E135" t="str">
        <f>VLOOKUP(C135, Continent!A:B, 2, FALSE)</f>
        <v>Africa</v>
      </c>
      <c r="F135" s="14">
        <f>((Table1[[#This Row],[2024 '[YR2024']]]-Table1[[#This Row],[1990 '[YR1990']]])/Table1[[#This Row],[1990 '[YR1990']]])*100</f>
        <v>56.226921803736865</v>
      </c>
      <c r="G135" s="14">
        <f>((Table1[[#This Row],[2024 '[YR2024']]] / Table1[[#This Row],[1990 '[YR1990']]]) ^ (1 / (2024 - 1990)) - 1) * 100</f>
        <v>1.3208214710852539</v>
      </c>
      <c r="H135">
        <v>24375551</v>
      </c>
      <c r="I135">
        <v>28423435</v>
      </c>
      <c r="J135">
        <v>34607588</v>
      </c>
      <c r="K135">
        <v>35023457</v>
      </c>
      <c r="L135">
        <v>35446392</v>
      </c>
      <c r="M135">
        <v>35839760</v>
      </c>
      <c r="N135">
        <v>36210898</v>
      </c>
      <c r="O135">
        <v>36584208</v>
      </c>
      <c r="P135">
        <v>36954442</v>
      </c>
      <c r="Q135">
        <v>37329064</v>
      </c>
      <c r="R135">
        <v>37712505</v>
      </c>
      <c r="S135">
        <v>38081173</v>
      </c>
    </row>
    <row r="136" spans="1:19" x14ac:dyDescent="0.35">
      <c r="A136" t="s">
        <v>16</v>
      </c>
      <c r="B136" t="s">
        <v>17</v>
      </c>
      <c r="C136" t="s">
        <v>281</v>
      </c>
      <c r="D136" t="s">
        <v>282</v>
      </c>
      <c r="E136" t="str">
        <f>VLOOKUP(C136, Continent!A:B, 2, FALSE)</f>
        <v>Africa</v>
      </c>
      <c r="F136" s="14">
        <f>((Table1[[#This Row],[2024 '[YR2024']]]-Table1[[#This Row],[1990 '[YR1990']]])/Table1[[#This Row],[1990 '[YR1990']]])*100</f>
        <v>164.47491805170355</v>
      </c>
      <c r="G136" s="14">
        <f>((Table1[[#This Row],[2024 '[YR2024']]] / Table1[[#This Row],[1990 '[YR1990']]]) ^ (1 / (2024 - 1990)) - 1) * 100</f>
        <v>2.901824070193304</v>
      </c>
      <c r="H136">
        <v>13094537</v>
      </c>
      <c r="I136">
        <v>18129653</v>
      </c>
      <c r="J136">
        <v>26547572</v>
      </c>
      <c r="K136">
        <v>27337105</v>
      </c>
      <c r="L136">
        <v>28166393</v>
      </c>
      <c r="M136">
        <v>29018644</v>
      </c>
      <c r="N136">
        <v>29884380</v>
      </c>
      <c r="O136">
        <v>30783688</v>
      </c>
      <c r="P136">
        <v>31707800</v>
      </c>
      <c r="Q136">
        <v>32656246</v>
      </c>
      <c r="R136">
        <v>33635160</v>
      </c>
      <c r="S136">
        <v>34631766</v>
      </c>
    </row>
    <row r="137" spans="1:19" x14ac:dyDescent="0.35">
      <c r="A137" t="s">
        <v>16</v>
      </c>
      <c r="B137" t="s">
        <v>17</v>
      </c>
      <c r="C137" t="s">
        <v>283</v>
      </c>
      <c r="D137" t="s">
        <v>284</v>
      </c>
      <c r="E137" t="str">
        <f>VLOOKUP(C137, Continent!A:B, 2, FALSE)</f>
        <v>Asia</v>
      </c>
      <c r="F137" s="14">
        <f>((Table1[[#This Row],[2024 '[YR2024']]]-Table1[[#This Row],[1990 '[YR1990']]])/Table1[[#This Row],[1990 '[YR1990']]])*100</f>
        <v>36.87557435846086</v>
      </c>
      <c r="G137" s="14">
        <f>((Table1[[#This Row],[2024 '[YR2024']]] / Table1[[#This Row],[1990 '[YR1990']]]) ^ (1 / (2024 - 1990)) - 1) * 100</f>
        <v>0.92751652283769026</v>
      </c>
      <c r="H137">
        <v>39817251</v>
      </c>
      <c r="I137">
        <v>45290841</v>
      </c>
      <c r="J137">
        <v>51089056</v>
      </c>
      <c r="K137">
        <v>51495696</v>
      </c>
      <c r="L137">
        <v>51894938</v>
      </c>
      <c r="M137">
        <v>52272247</v>
      </c>
      <c r="N137">
        <v>52640713</v>
      </c>
      <c r="O137">
        <v>53016522</v>
      </c>
      <c r="P137">
        <v>53387102</v>
      </c>
      <c r="Q137">
        <v>53756787</v>
      </c>
      <c r="R137">
        <v>54133798</v>
      </c>
      <c r="S137">
        <v>54500091</v>
      </c>
    </row>
    <row r="138" spans="1:19" x14ac:dyDescent="0.35">
      <c r="A138" t="s">
        <v>16</v>
      </c>
      <c r="B138" t="s">
        <v>17</v>
      </c>
      <c r="C138" t="s">
        <v>285</v>
      </c>
      <c r="D138" t="s">
        <v>286</v>
      </c>
      <c r="E138" t="str">
        <f>VLOOKUP(C138, Continent!A:B, 2, FALSE)</f>
        <v>Africa</v>
      </c>
      <c r="F138" s="14">
        <f>((Table1[[#This Row],[2024 '[YR2024']]]-Table1[[#This Row],[1990 '[YR1990']]])/Table1[[#This Row],[1990 '[YR1990']]])*100</f>
        <v>121.2900285765824</v>
      </c>
      <c r="G138" s="14">
        <f>((Table1[[#This Row],[2024 '[YR2024']]] / Table1[[#This Row],[1990 '[YR1990']]]) ^ (1 / (2024 - 1990)) - 1) * 100</f>
        <v>2.3636908711073934</v>
      </c>
      <c r="H138">
        <v>1369303</v>
      </c>
      <c r="I138">
        <v>1818647</v>
      </c>
      <c r="J138">
        <v>2374300</v>
      </c>
      <c r="K138">
        <v>2439213</v>
      </c>
      <c r="L138">
        <v>2506853</v>
      </c>
      <c r="M138">
        <v>2577327</v>
      </c>
      <c r="N138">
        <v>2650494</v>
      </c>
      <c r="O138">
        <v>2728762</v>
      </c>
      <c r="P138">
        <v>2810548</v>
      </c>
      <c r="Q138">
        <v>2889662</v>
      </c>
      <c r="R138">
        <v>2963095</v>
      </c>
      <c r="S138">
        <v>3030131</v>
      </c>
    </row>
    <row r="139" spans="1:19" x14ac:dyDescent="0.35">
      <c r="A139" t="s">
        <v>16</v>
      </c>
      <c r="B139" t="s">
        <v>17</v>
      </c>
      <c r="C139" t="s">
        <v>287</v>
      </c>
      <c r="D139" t="s">
        <v>288</v>
      </c>
      <c r="E139" t="str">
        <f>VLOOKUP(C139, Continent!A:B, 2, FALSE)</f>
        <v>Oceania</v>
      </c>
      <c r="F139" s="14">
        <f>((Table1[[#This Row],[2024 '[YR2024']]]-Table1[[#This Row],[1990 '[YR1990']]])/Table1[[#This Row],[1990 '[YR1990']]])*100</f>
        <v>24.16337559758886</v>
      </c>
      <c r="G139" s="14">
        <f>((Table1[[#This Row],[2024 '[YR2024']]] / Table1[[#This Row],[1990 '[YR1990']]]) ^ (1 / (2024 - 1990)) - 1) * 100</f>
        <v>0.63858341548010955</v>
      </c>
      <c r="H139">
        <v>9622</v>
      </c>
      <c r="I139">
        <v>10168</v>
      </c>
      <c r="J139">
        <v>10954</v>
      </c>
      <c r="K139">
        <v>11150</v>
      </c>
      <c r="L139">
        <v>11324</v>
      </c>
      <c r="M139">
        <v>11477</v>
      </c>
      <c r="N139">
        <v>11587</v>
      </c>
      <c r="O139">
        <v>11643</v>
      </c>
      <c r="P139">
        <v>11709</v>
      </c>
      <c r="Q139">
        <v>11801</v>
      </c>
      <c r="R139">
        <v>11875</v>
      </c>
      <c r="S139">
        <v>11947</v>
      </c>
    </row>
    <row r="140" spans="1:19" x14ac:dyDescent="0.35">
      <c r="A140" t="s">
        <v>16</v>
      </c>
      <c r="B140" t="s">
        <v>17</v>
      </c>
      <c r="C140" t="s">
        <v>289</v>
      </c>
      <c r="D140" t="s">
        <v>290</v>
      </c>
      <c r="E140" t="str">
        <f>VLOOKUP(C140, Continent!A:B, 2, FALSE)</f>
        <v>Asia</v>
      </c>
      <c r="F140" s="14">
        <f>((Table1[[#This Row],[2024 '[YR2024']]]-Table1[[#This Row],[1990 '[YR1990']]])/Table1[[#This Row],[1990 '[YR1990']]])*100</f>
        <v>51.865313520556889</v>
      </c>
      <c r="G140" s="14">
        <f>((Table1[[#This Row],[2024 '[YR2024']]] / Table1[[#This Row],[1990 '[YR1990']]]) ^ (1 / (2024 - 1990)) - 1) * 100</f>
        <v>1.2364755913340408</v>
      </c>
      <c r="H140">
        <v>19524573</v>
      </c>
      <c r="I140">
        <v>24546509</v>
      </c>
      <c r="J140">
        <v>27823629</v>
      </c>
      <c r="K140">
        <v>27955462</v>
      </c>
      <c r="L140">
        <v>28011258</v>
      </c>
      <c r="M140">
        <v>28079689</v>
      </c>
      <c r="N140">
        <v>28414064</v>
      </c>
      <c r="O140">
        <v>28966574</v>
      </c>
      <c r="P140">
        <v>29475010</v>
      </c>
      <c r="Q140">
        <v>29715436</v>
      </c>
      <c r="R140">
        <v>29694614</v>
      </c>
      <c r="S140">
        <v>29651054</v>
      </c>
    </row>
    <row r="141" spans="1:19" x14ac:dyDescent="0.35">
      <c r="A141" t="s">
        <v>16</v>
      </c>
      <c r="B141" t="s">
        <v>17</v>
      </c>
      <c r="C141" t="s">
        <v>291</v>
      </c>
      <c r="D141" t="s">
        <v>292</v>
      </c>
      <c r="E141" t="str">
        <f>VLOOKUP(C141, Continent!A:B, 2, FALSE)</f>
        <v>Europe</v>
      </c>
      <c r="F141" s="14">
        <f>((Table1[[#This Row],[2024 '[YR2024']]]-Table1[[#This Row],[1990 '[YR1990']]])/Table1[[#This Row],[1990 '[YR1990']]])*100</f>
        <v>20.350633481166785</v>
      </c>
      <c r="G141" s="14">
        <f>((Table1[[#This Row],[2024 '[YR2024']]] / Table1[[#This Row],[1990 '[YR1990']]]) ^ (1 / (2024 - 1990)) - 1) * 100</f>
        <v>0.54630814990239696</v>
      </c>
      <c r="H141">
        <v>14951510</v>
      </c>
      <c r="I141">
        <v>15925513</v>
      </c>
      <c r="J141">
        <v>16939923</v>
      </c>
      <c r="K141">
        <v>17030314</v>
      </c>
      <c r="L141">
        <v>17131296</v>
      </c>
      <c r="M141">
        <v>17231624</v>
      </c>
      <c r="N141">
        <v>17344874</v>
      </c>
      <c r="O141">
        <v>17441500</v>
      </c>
      <c r="P141">
        <v>17533044</v>
      </c>
      <c r="Q141">
        <v>17700982</v>
      </c>
      <c r="R141">
        <v>17877117</v>
      </c>
      <c r="S141">
        <v>17994237</v>
      </c>
    </row>
    <row r="142" spans="1:19" x14ac:dyDescent="0.35">
      <c r="A142" t="s">
        <v>16</v>
      </c>
      <c r="B142" t="s">
        <v>17</v>
      </c>
      <c r="C142" t="s">
        <v>293</v>
      </c>
      <c r="D142" t="s">
        <v>294</v>
      </c>
      <c r="E142" t="str">
        <f>VLOOKUP(C142, Continent!A:B, 2, FALSE)</f>
        <v>Oceania</v>
      </c>
      <c r="F142" s="14">
        <f>((Table1[[#This Row],[2024 '[YR2024']]]-Table1[[#This Row],[1990 '[YR1990']]])/Table1[[#This Row],[1990 '[YR1990']]])*100</f>
        <v>65.84247631137508</v>
      </c>
      <c r="G142" s="14">
        <f>((Table1[[#This Row],[2024 '[YR2024']]] / Table1[[#This Row],[1990 '[YR1990']]]) ^ (1 / (2024 - 1990)) - 1) * 100</f>
        <v>1.4989712405330424</v>
      </c>
      <c r="H142">
        <v>176456</v>
      </c>
      <c r="I142">
        <v>223098</v>
      </c>
      <c r="J142">
        <v>283168</v>
      </c>
      <c r="K142">
        <v>283423</v>
      </c>
      <c r="L142">
        <v>283546</v>
      </c>
      <c r="M142">
        <v>283541</v>
      </c>
      <c r="N142">
        <v>283606</v>
      </c>
      <c r="O142">
        <v>284176</v>
      </c>
      <c r="P142">
        <v>285214</v>
      </c>
      <c r="Q142">
        <v>287123</v>
      </c>
      <c r="R142">
        <v>289870</v>
      </c>
      <c r="S142">
        <v>292639</v>
      </c>
    </row>
    <row r="143" spans="1:19" x14ac:dyDescent="0.35">
      <c r="A143" t="s">
        <v>16</v>
      </c>
      <c r="B143" t="s">
        <v>17</v>
      </c>
      <c r="C143" t="s">
        <v>295</v>
      </c>
      <c r="D143" t="s">
        <v>296</v>
      </c>
      <c r="E143" t="str">
        <f>VLOOKUP(C143, Continent!A:B, 2, FALSE)</f>
        <v>Oceania</v>
      </c>
      <c r="F143" s="14">
        <f>((Table1[[#This Row],[2024 '[YR2024']]]-Table1[[#This Row],[1990 '[YR1990']]])/Table1[[#This Row],[1990 '[YR1990']]])*100</f>
        <v>60.324944441107576</v>
      </c>
      <c r="G143" s="14">
        <f>((Table1[[#This Row],[2024 '[YR2024']]] / Table1[[#This Row],[1990 '[YR1990']]]) ^ (1 / (2024 - 1990)) - 1) * 100</f>
        <v>1.3980128680492587</v>
      </c>
      <c r="H143">
        <v>3329800</v>
      </c>
      <c r="I143">
        <v>3857700</v>
      </c>
      <c r="J143">
        <v>4609400</v>
      </c>
      <c r="K143">
        <v>4714100</v>
      </c>
      <c r="L143">
        <v>4813600</v>
      </c>
      <c r="M143">
        <v>4900600</v>
      </c>
      <c r="N143">
        <v>4979200</v>
      </c>
      <c r="O143">
        <v>5090200</v>
      </c>
      <c r="P143">
        <v>5111300</v>
      </c>
      <c r="Q143">
        <v>5117100</v>
      </c>
      <c r="R143">
        <v>5245000</v>
      </c>
      <c r="S143">
        <v>5338500</v>
      </c>
    </row>
    <row r="144" spans="1:19" x14ac:dyDescent="0.35">
      <c r="A144" t="s">
        <v>16</v>
      </c>
      <c r="B144" t="s">
        <v>17</v>
      </c>
      <c r="C144" t="s">
        <v>297</v>
      </c>
      <c r="D144" t="s">
        <v>298</v>
      </c>
      <c r="E144" t="str">
        <f>VLOOKUP(C144, Continent!A:B, 2, FALSE)</f>
        <v>North America</v>
      </c>
      <c r="F144" s="14">
        <f>((Table1[[#This Row],[2024 '[YR2024']]]-Table1[[#This Row],[1990 '[YR1990']]])/Table1[[#This Row],[1990 '[YR1990']]])*100</f>
        <v>66.151158458054297</v>
      </c>
      <c r="G144" s="14">
        <f>((Table1[[#This Row],[2024 '[YR2024']]] / Table1[[#This Row],[1990 '[YR1990']]]) ^ (1 / (2024 - 1990)) - 1) * 100</f>
        <v>1.5045226910791909</v>
      </c>
      <c r="H144">
        <v>4162559</v>
      </c>
      <c r="I144">
        <v>5022633</v>
      </c>
      <c r="J144">
        <v>6149417</v>
      </c>
      <c r="K144">
        <v>6232666</v>
      </c>
      <c r="L144">
        <v>6316231</v>
      </c>
      <c r="M144">
        <v>6400080</v>
      </c>
      <c r="N144">
        <v>6483657</v>
      </c>
      <c r="O144">
        <v>6565267</v>
      </c>
      <c r="P144">
        <v>6644741</v>
      </c>
      <c r="Q144">
        <v>6730654</v>
      </c>
      <c r="R144">
        <v>6823613</v>
      </c>
      <c r="S144">
        <v>6916140</v>
      </c>
    </row>
    <row r="145" spans="1:19" x14ac:dyDescent="0.35">
      <c r="A145" t="s">
        <v>16</v>
      </c>
      <c r="B145" t="s">
        <v>17</v>
      </c>
      <c r="C145" t="s">
        <v>299</v>
      </c>
      <c r="D145" t="s">
        <v>300</v>
      </c>
      <c r="E145" t="str">
        <f>VLOOKUP(C145, Continent!A:B, 2, FALSE)</f>
        <v>Africa</v>
      </c>
      <c r="F145" s="14">
        <f>((Table1[[#This Row],[2024 '[YR2024']]]-Table1[[#This Row],[1990 '[YR1990']]])/Table1[[#This Row],[1990 '[YR1990']]])*100</f>
        <v>226.23967558039354</v>
      </c>
      <c r="G145" s="14">
        <f>((Table1[[#This Row],[2024 '[YR2024']]] / Table1[[#This Row],[1990 '[YR1990']]]) ^ (1 / (2024 - 1990)) - 1) * 100</f>
        <v>3.539013511833411</v>
      </c>
      <c r="H145">
        <v>8286059</v>
      </c>
      <c r="I145">
        <v>11509630</v>
      </c>
      <c r="J145">
        <v>19939498</v>
      </c>
      <c r="K145">
        <v>20685753</v>
      </c>
      <c r="L145">
        <v>21435446</v>
      </c>
      <c r="M145">
        <v>22188069</v>
      </c>
      <c r="N145">
        <v>22947757</v>
      </c>
      <c r="O145">
        <v>23717613</v>
      </c>
      <c r="P145">
        <v>24502140</v>
      </c>
      <c r="Q145">
        <v>25311973</v>
      </c>
      <c r="R145">
        <v>26159867</v>
      </c>
      <c r="S145">
        <v>27032412</v>
      </c>
    </row>
    <row r="146" spans="1:19" x14ac:dyDescent="0.35">
      <c r="A146" t="s">
        <v>16</v>
      </c>
      <c r="B146" t="s">
        <v>17</v>
      </c>
      <c r="C146" t="s">
        <v>301</v>
      </c>
      <c r="D146" t="s">
        <v>302</v>
      </c>
      <c r="E146" t="str">
        <f>VLOOKUP(C146, Continent!A:B, 2, FALSE)</f>
        <v>Africa</v>
      </c>
      <c r="F146" s="14">
        <f>((Table1[[#This Row],[2024 '[YR2024']]]-Table1[[#This Row],[1990 '[YR1990']]])/Table1[[#This Row],[1990 '[YR1990']]])*100</f>
        <v>139.57708186984422</v>
      </c>
      <c r="G146" s="14">
        <f>((Table1[[#This Row],[2024 '[YR2024']]] / Table1[[#This Row],[1990 '[YR1990']]]) ^ (1 / (2024 - 1990)) - 1) * 100</f>
        <v>2.6030226242223398</v>
      </c>
      <c r="H146">
        <v>97120925</v>
      </c>
      <c r="I146">
        <v>126382494</v>
      </c>
      <c r="J146">
        <v>190671878</v>
      </c>
      <c r="K146">
        <v>195443700</v>
      </c>
      <c r="L146">
        <v>200254579</v>
      </c>
      <c r="M146">
        <v>204938755</v>
      </c>
      <c r="N146">
        <v>209485641</v>
      </c>
      <c r="O146">
        <v>213996181</v>
      </c>
      <c r="P146">
        <v>218529286</v>
      </c>
      <c r="Q146">
        <v>223150896</v>
      </c>
      <c r="R146">
        <v>227882945</v>
      </c>
      <c r="S146">
        <v>232679478</v>
      </c>
    </row>
    <row r="147" spans="1:19" x14ac:dyDescent="0.35">
      <c r="A147" t="s">
        <v>16</v>
      </c>
      <c r="B147" t="s">
        <v>17</v>
      </c>
      <c r="C147" t="s">
        <v>303</v>
      </c>
      <c r="D147" t="s">
        <v>304</v>
      </c>
      <c r="E147" t="str">
        <f>VLOOKUP(C147, Continent!A:B, 2, FALSE)</f>
        <v>Europe</v>
      </c>
      <c r="F147" s="14">
        <f>((Table1[[#This Row],[2024 '[YR2024']]]-Table1[[#This Row],[1990 '[YR1990']]])/Table1[[#This Row],[1990 '[YR1990']]])*100</f>
        <v>-13.156536668073532</v>
      </c>
      <c r="G147" s="14">
        <f>((Table1[[#This Row],[2024 '[YR2024']]] / Table1[[#This Row],[1990 '[YR1990']]]) ^ (1 / (2024 - 1990)) - 1) * 100</f>
        <v>-0.41403157496414655</v>
      </c>
      <c r="H147">
        <v>2063689</v>
      </c>
      <c r="I147">
        <v>2026350</v>
      </c>
      <c r="J147">
        <v>1912430</v>
      </c>
      <c r="K147">
        <v>1906313</v>
      </c>
      <c r="L147">
        <v>1898657</v>
      </c>
      <c r="M147">
        <v>1889051</v>
      </c>
      <c r="N147">
        <v>1876262</v>
      </c>
      <c r="O147">
        <v>1856124</v>
      </c>
      <c r="P147">
        <v>1837114</v>
      </c>
      <c r="Q147">
        <v>1831712</v>
      </c>
      <c r="R147">
        <v>1827816</v>
      </c>
      <c r="S147">
        <v>1792179</v>
      </c>
    </row>
    <row r="148" spans="1:19" x14ac:dyDescent="0.35">
      <c r="A148" t="s">
        <v>16</v>
      </c>
      <c r="B148" t="s">
        <v>17</v>
      </c>
      <c r="C148" t="s">
        <v>305</v>
      </c>
      <c r="D148" t="s">
        <v>306</v>
      </c>
      <c r="E148" t="str">
        <f>VLOOKUP(C148, Continent!A:B, 2, FALSE)</f>
        <v>Oceania</v>
      </c>
      <c r="F148" s="14">
        <f>((Table1[[#This Row],[2024 '[YR2024']]]-Table1[[#This Row],[1990 '[YR1990']]])/Table1[[#This Row],[1990 '[YR1990']]])*100</f>
        <v>2.1595680863827234</v>
      </c>
      <c r="G148" s="14">
        <f>((Table1[[#This Row],[2024 '[YR2024']]] / Table1[[#This Row],[1990 '[YR1990']]]) ^ (1 / (2024 - 1990)) - 1) * 100</f>
        <v>6.2860330924130459E-2</v>
      </c>
      <c r="H148">
        <v>43342</v>
      </c>
      <c r="I148">
        <v>68356</v>
      </c>
      <c r="J148">
        <v>51514</v>
      </c>
      <c r="K148">
        <v>50773</v>
      </c>
      <c r="L148">
        <v>49959</v>
      </c>
      <c r="M148">
        <v>49077</v>
      </c>
      <c r="N148">
        <v>48129</v>
      </c>
      <c r="O148">
        <v>47528</v>
      </c>
      <c r="P148">
        <v>46979</v>
      </c>
      <c r="Q148">
        <v>46078</v>
      </c>
      <c r="R148">
        <v>45143</v>
      </c>
      <c r="S148">
        <v>44278</v>
      </c>
    </row>
    <row r="149" spans="1:19" x14ac:dyDescent="0.35">
      <c r="A149" t="s">
        <v>16</v>
      </c>
      <c r="B149" t="s">
        <v>17</v>
      </c>
      <c r="C149" t="s">
        <v>307</v>
      </c>
      <c r="D149" t="s">
        <v>308</v>
      </c>
      <c r="E149" t="str">
        <f>VLOOKUP(C149, Continent!A:B, 2, FALSE)</f>
        <v>Europe</v>
      </c>
      <c r="F149" s="14">
        <f>((Table1[[#This Row],[2024 '[YR2024']]]-Table1[[#This Row],[1990 '[YR1990']]])/Table1[[#This Row],[1990 '[YR1990']]])*100</f>
        <v>31.375868713534189</v>
      </c>
      <c r="G149" s="14">
        <f>((Table1[[#This Row],[2024 '[YR2024']]] / Table1[[#This Row],[1990 '[YR1990']]]) ^ (1 / (2024 - 1990)) - 1) * 100</f>
        <v>0.80585394494172569</v>
      </c>
      <c r="H149">
        <v>4241473</v>
      </c>
      <c r="I149">
        <v>4490967</v>
      </c>
      <c r="J149">
        <v>5188607</v>
      </c>
      <c r="K149">
        <v>5234519</v>
      </c>
      <c r="L149">
        <v>5276968</v>
      </c>
      <c r="M149">
        <v>5311916</v>
      </c>
      <c r="N149">
        <v>5347896</v>
      </c>
      <c r="O149">
        <v>5379475</v>
      </c>
      <c r="P149">
        <v>5408320</v>
      </c>
      <c r="Q149">
        <v>5457127</v>
      </c>
      <c r="R149">
        <v>5519594</v>
      </c>
      <c r="S149">
        <v>5572272</v>
      </c>
    </row>
    <row r="150" spans="1:19" x14ac:dyDescent="0.35">
      <c r="A150" t="s">
        <v>16</v>
      </c>
      <c r="B150" t="s">
        <v>17</v>
      </c>
      <c r="C150" t="s">
        <v>309</v>
      </c>
      <c r="D150" t="s">
        <v>310</v>
      </c>
      <c r="E150" t="str">
        <f>VLOOKUP(C150, Continent!A:B, 2, FALSE)</f>
        <v>Asia</v>
      </c>
      <c r="F150" s="14">
        <f>((Table1[[#This Row],[2024 '[YR2024']]]-Table1[[#This Row],[1990 '[YR1990']]])/Table1[[#This Row],[1990 '[YR1990']]])*100</f>
        <v>199.41472396672475</v>
      </c>
      <c r="G150" s="14">
        <f>((Table1[[#This Row],[2024 '[YR2024']]] / Table1[[#This Row],[1990 '[YR1990']]]) ^ (1 / (2024 - 1990)) - 1) * 100</f>
        <v>3.2780510771696747</v>
      </c>
      <c r="H150">
        <v>1763954</v>
      </c>
      <c r="I150">
        <v>2282131</v>
      </c>
      <c r="J150">
        <v>4184895</v>
      </c>
      <c r="K150">
        <v>4390877</v>
      </c>
      <c r="L150">
        <v>4537396</v>
      </c>
      <c r="M150">
        <v>4597877</v>
      </c>
      <c r="N150">
        <v>4591241</v>
      </c>
      <c r="O150">
        <v>4522497</v>
      </c>
      <c r="P150">
        <v>4500424</v>
      </c>
      <c r="Q150">
        <v>4730226</v>
      </c>
      <c r="R150">
        <v>5049269</v>
      </c>
      <c r="S150">
        <v>5281538</v>
      </c>
    </row>
    <row r="151" spans="1:19" x14ac:dyDescent="0.35">
      <c r="A151" t="s">
        <v>16</v>
      </c>
      <c r="B151" t="s">
        <v>17</v>
      </c>
      <c r="C151" t="s">
        <v>311</v>
      </c>
      <c r="D151" t="s">
        <v>312</v>
      </c>
      <c r="E151" t="str">
        <f>VLOOKUP(C151, Continent!A:B, 2, FALSE)</f>
        <v>Asia</v>
      </c>
      <c r="F151" s="14">
        <f>((Table1[[#This Row],[2024 '[YR2024']]]-Table1[[#This Row],[1990 '[YR1990']]])/Table1[[#This Row],[1990 '[YR1990']]])*100</f>
        <v>116.3212242174237</v>
      </c>
      <c r="G151" s="14">
        <f>((Table1[[#This Row],[2024 '[YR2024']]] / Table1[[#This Row],[1990 '[YR1990']]]) ^ (1 / (2024 - 1990)) - 1) * 100</f>
        <v>2.2953415722097859</v>
      </c>
      <c r="H151">
        <v>116155576</v>
      </c>
      <c r="I151">
        <v>154879127</v>
      </c>
      <c r="J151">
        <v>217290883</v>
      </c>
      <c r="K151">
        <v>220138869</v>
      </c>
      <c r="L151">
        <v>223273967</v>
      </c>
      <c r="M151">
        <v>226928892</v>
      </c>
      <c r="N151">
        <v>230800899</v>
      </c>
      <c r="O151">
        <v>235001746</v>
      </c>
      <c r="P151">
        <v>239477801</v>
      </c>
      <c r="Q151">
        <v>243700667</v>
      </c>
      <c r="R151">
        <v>247504495</v>
      </c>
      <c r="S151">
        <v>251269164</v>
      </c>
    </row>
    <row r="152" spans="1:19" x14ac:dyDescent="0.35">
      <c r="A152" t="s">
        <v>16</v>
      </c>
      <c r="B152" t="s">
        <v>17</v>
      </c>
      <c r="C152" t="s">
        <v>313</v>
      </c>
      <c r="D152" t="s">
        <v>314</v>
      </c>
      <c r="E152" t="str">
        <f>VLOOKUP(C152, Continent!A:B, 2, FALSE)</f>
        <v>Oceania</v>
      </c>
      <c r="F152" s="14">
        <f>((Table1[[#This Row],[2024 '[YR2024']]]-Table1[[#This Row],[1990 '[YR1990']]])/Table1[[#This Row],[1990 '[YR1990']]])*100</f>
        <v>15.964348908840684</v>
      </c>
      <c r="G152" s="14">
        <f>((Table1[[#This Row],[2024 '[YR2024']]] / Table1[[#This Row],[1990 '[YR1990']]]) ^ (1 / (2024 - 1990)) - 1) * 100</f>
        <v>0.43657558211267489</v>
      </c>
      <c r="H152">
        <v>15259</v>
      </c>
      <c r="I152">
        <v>19178</v>
      </c>
      <c r="J152">
        <v>17770</v>
      </c>
      <c r="K152">
        <v>17797</v>
      </c>
      <c r="L152">
        <v>17812</v>
      </c>
      <c r="M152">
        <v>17814</v>
      </c>
      <c r="N152">
        <v>17798</v>
      </c>
      <c r="O152">
        <v>17792</v>
      </c>
      <c r="P152">
        <v>17783</v>
      </c>
      <c r="Q152">
        <v>17759</v>
      </c>
      <c r="R152">
        <v>17727</v>
      </c>
      <c r="S152">
        <v>17695</v>
      </c>
    </row>
    <row r="153" spans="1:19" x14ac:dyDescent="0.35">
      <c r="A153" t="s">
        <v>16</v>
      </c>
      <c r="B153" t="s">
        <v>17</v>
      </c>
      <c r="C153" t="s">
        <v>315</v>
      </c>
      <c r="D153" t="s">
        <v>316</v>
      </c>
      <c r="E153" t="str">
        <f>VLOOKUP(C153, Continent!A:B, 2, FALSE)</f>
        <v>North America</v>
      </c>
      <c r="F153" s="14">
        <f>((Table1[[#This Row],[2024 '[YR2024']]]-Table1[[#This Row],[1990 '[YR1990']]])/Table1[[#This Row],[1990 '[YR1990']]])*100</f>
        <v>83.890220774455599</v>
      </c>
      <c r="G153" s="14">
        <f>((Table1[[#This Row],[2024 '[YR2024']]] / Table1[[#This Row],[1990 '[YR1990']]]) ^ (1 / (2024 - 1990)) - 1) * 100</f>
        <v>1.8078195911830353</v>
      </c>
      <c r="H153">
        <v>2455583</v>
      </c>
      <c r="I153">
        <v>3010369</v>
      </c>
      <c r="J153">
        <v>3960035</v>
      </c>
      <c r="K153">
        <v>4029086</v>
      </c>
      <c r="L153">
        <v>4098707</v>
      </c>
      <c r="M153">
        <v>4167860</v>
      </c>
      <c r="N153">
        <v>4234700</v>
      </c>
      <c r="O153">
        <v>4293261</v>
      </c>
      <c r="P153">
        <v>4345405</v>
      </c>
      <c r="Q153">
        <v>4400773</v>
      </c>
      <c r="R153">
        <v>4458759</v>
      </c>
      <c r="S153">
        <v>4515577</v>
      </c>
    </row>
    <row r="154" spans="1:19" x14ac:dyDescent="0.35">
      <c r="A154" t="s">
        <v>16</v>
      </c>
      <c r="B154" t="s">
        <v>17</v>
      </c>
      <c r="C154" t="s">
        <v>317</v>
      </c>
      <c r="D154" t="s">
        <v>318</v>
      </c>
      <c r="E154" t="str">
        <f>VLOOKUP(C154, Continent!A:B, 2, FALSE)</f>
        <v>Oceania</v>
      </c>
      <c r="F154" s="14">
        <f>((Table1[[#This Row],[2024 '[YR2024']]]-Table1[[#This Row],[1990 '[YR1990']]])/Table1[[#This Row],[1990 '[YR1990']]])*100</f>
        <v>171.43727891910677</v>
      </c>
      <c r="G154" s="14">
        <f>((Table1[[#This Row],[2024 '[YR2024']]] / Table1[[#This Row],[1990 '[YR1990']]]) ^ (1 / (2024 - 1990)) - 1) * 100</f>
        <v>2.9804973837219917</v>
      </c>
      <c r="H154">
        <v>3896481</v>
      </c>
      <c r="I154">
        <v>5537064</v>
      </c>
      <c r="J154">
        <v>8743246</v>
      </c>
      <c r="K154">
        <v>8961718</v>
      </c>
      <c r="L154">
        <v>9178714</v>
      </c>
      <c r="M154">
        <v>9394513</v>
      </c>
      <c r="N154">
        <v>9609010</v>
      </c>
      <c r="O154">
        <v>9815746</v>
      </c>
      <c r="P154">
        <v>10012896</v>
      </c>
      <c r="Q154">
        <v>10203169</v>
      </c>
      <c r="R154">
        <v>10389635</v>
      </c>
      <c r="S154">
        <v>10576502</v>
      </c>
    </row>
    <row r="155" spans="1:19" x14ac:dyDescent="0.35">
      <c r="A155" t="s">
        <v>16</v>
      </c>
      <c r="B155" t="s">
        <v>17</v>
      </c>
      <c r="C155" t="s">
        <v>319</v>
      </c>
      <c r="D155" t="s">
        <v>320</v>
      </c>
      <c r="E155" t="str">
        <f>VLOOKUP(C155, Continent!A:B, 2, FALSE)</f>
        <v>South America</v>
      </c>
      <c r="F155" s="14">
        <f>((Table1[[#This Row],[2024 '[YR2024']]]-Table1[[#This Row],[1990 '[YR1990']]])/Table1[[#This Row],[1990 '[YR1990']]])*100</f>
        <v>71.694434760157165</v>
      </c>
      <c r="G155" s="14">
        <f>((Table1[[#This Row],[2024 '[YR2024']]] / Table1[[#This Row],[1990 '[YR1990']]]) ^ (1 / (2024 - 1990)) - 1) * 100</f>
        <v>1.6025468973837942</v>
      </c>
      <c r="H155">
        <v>4035747</v>
      </c>
      <c r="I155">
        <v>5100868</v>
      </c>
      <c r="J155">
        <v>6159103</v>
      </c>
      <c r="K155">
        <v>6249126</v>
      </c>
      <c r="L155">
        <v>6338660</v>
      </c>
      <c r="M155">
        <v>6427382</v>
      </c>
      <c r="N155">
        <v>6515058</v>
      </c>
      <c r="O155">
        <v>6603739</v>
      </c>
      <c r="P155">
        <v>6684182</v>
      </c>
      <c r="Q155">
        <v>6760464</v>
      </c>
      <c r="R155">
        <v>6844146</v>
      </c>
      <c r="S155">
        <v>6929153</v>
      </c>
    </row>
    <row r="156" spans="1:19" x14ac:dyDescent="0.35">
      <c r="A156" t="s">
        <v>16</v>
      </c>
      <c r="B156" t="s">
        <v>17</v>
      </c>
      <c r="C156" t="s">
        <v>321</v>
      </c>
      <c r="D156" t="s">
        <v>322</v>
      </c>
      <c r="E156" t="str">
        <f>VLOOKUP(C156, Continent!A:B, 2, FALSE)</f>
        <v>South America</v>
      </c>
      <c r="F156" s="14">
        <f>((Table1[[#This Row],[2024 '[YR2024']]]-Table1[[#This Row],[1990 '[YR1990']]])/Table1[[#This Row],[1990 '[YR1990']]])*100</f>
        <v>55.431314729551353</v>
      </c>
      <c r="G156" s="14">
        <f>((Table1[[#This Row],[2024 '[YR2024']]] / Table1[[#This Row],[1990 '[YR1990']]]) ^ (1 / (2024 - 1990)) - 1) * 100</f>
        <v>1.3056076556421159</v>
      </c>
      <c r="H156">
        <v>22014771</v>
      </c>
      <c r="I156">
        <v>26598331</v>
      </c>
      <c r="J156">
        <v>30457600</v>
      </c>
      <c r="K156">
        <v>30866494</v>
      </c>
      <c r="L156">
        <v>31324637</v>
      </c>
      <c r="M156">
        <v>31897584</v>
      </c>
      <c r="N156">
        <v>32449303</v>
      </c>
      <c r="O156">
        <v>32838579</v>
      </c>
      <c r="P156">
        <v>33155882</v>
      </c>
      <c r="Q156">
        <v>33475438</v>
      </c>
      <c r="R156">
        <v>33845617</v>
      </c>
      <c r="S156">
        <v>34217848</v>
      </c>
    </row>
    <row r="157" spans="1:19" x14ac:dyDescent="0.35">
      <c r="A157" t="s">
        <v>16</v>
      </c>
      <c r="B157" t="s">
        <v>17</v>
      </c>
      <c r="C157" t="s">
        <v>323</v>
      </c>
      <c r="D157" t="s">
        <v>324</v>
      </c>
      <c r="E157" t="str">
        <f>VLOOKUP(C157, Continent!A:B, 2, FALSE)</f>
        <v>Asia</v>
      </c>
      <c r="F157" s="14">
        <f>((Table1[[#This Row],[2024 '[YR2024']]]-Table1[[#This Row],[1990 '[YR1990']]])/Table1[[#This Row],[1990 '[YR1990']]])*100</f>
        <v>84.304010143017862</v>
      </c>
      <c r="G157" s="14">
        <f>((Table1[[#This Row],[2024 '[YR2024']]] / Table1[[#This Row],[1990 '[YR1990']]]) ^ (1 / (2024 - 1990)) - 1) * 100</f>
        <v>1.8145501186628277</v>
      </c>
      <c r="H157">
        <v>62854666</v>
      </c>
      <c r="I157">
        <v>79625397</v>
      </c>
      <c r="J157">
        <v>105312992</v>
      </c>
      <c r="K157">
        <v>106735719</v>
      </c>
      <c r="L157">
        <v>108119693</v>
      </c>
      <c r="M157">
        <v>109465287</v>
      </c>
      <c r="N157">
        <v>110804683</v>
      </c>
      <c r="O157">
        <v>112081264</v>
      </c>
      <c r="P157">
        <v>113100950</v>
      </c>
      <c r="Q157">
        <v>113964338</v>
      </c>
      <c r="R157">
        <v>114891199</v>
      </c>
      <c r="S157">
        <v>115843670</v>
      </c>
    </row>
    <row r="158" spans="1:19" x14ac:dyDescent="0.35">
      <c r="A158" t="s">
        <v>16</v>
      </c>
      <c r="B158" t="s">
        <v>17</v>
      </c>
      <c r="C158" t="s">
        <v>325</v>
      </c>
      <c r="D158" t="s">
        <v>326</v>
      </c>
      <c r="E158" t="str">
        <f>VLOOKUP(C158, Continent!A:B, 2, FALSE)</f>
        <v>Europe</v>
      </c>
      <c r="F158" s="14">
        <f>((Table1[[#This Row],[2024 '[YR2024']]]-Table1[[#This Row],[1990 '[YR1990']]])/Table1[[#This Row],[1990 '[YR1990']]])*100</f>
        <v>-4.0830308861151163</v>
      </c>
      <c r="G158" s="14">
        <f>((Table1[[#This Row],[2024 '[YR2024']]] / Table1[[#This Row],[1990 '[YR1990']]]) ^ (1 / (2024 - 1990)) - 1) * 100</f>
        <v>-0.12253449401735672</v>
      </c>
      <c r="H158">
        <v>38110782</v>
      </c>
      <c r="I158">
        <v>38258629</v>
      </c>
      <c r="J158">
        <v>37986412</v>
      </c>
      <c r="K158">
        <v>37970087</v>
      </c>
      <c r="L158">
        <v>37974826</v>
      </c>
      <c r="M158">
        <v>37974750</v>
      </c>
      <c r="N158">
        <v>37965475</v>
      </c>
      <c r="O158">
        <v>37515748</v>
      </c>
      <c r="P158">
        <v>36981559</v>
      </c>
      <c r="Q158">
        <v>36821749</v>
      </c>
      <c r="R158">
        <v>36687353</v>
      </c>
      <c r="S158">
        <v>36554707</v>
      </c>
    </row>
    <row r="159" spans="1:19" x14ac:dyDescent="0.35">
      <c r="A159" t="s">
        <v>16</v>
      </c>
      <c r="B159" t="s">
        <v>17</v>
      </c>
      <c r="C159" t="s">
        <v>327</v>
      </c>
      <c r="D159" t="s">
        <v>328</v>
      </c>
      <c r="E159" t="str">
        <f>VLOOKUP(C159, Continent!A:B, 2, FALSE)</f>
        <v>Europe</v>
      </c>
      <c r="F159" s="14">
        <f>((Table1[[#This Row],[2024 '[YR2024']]]-Table1[[#This Row],[1990 '[YR1990']]])/Table1[[#This Row],[1990 '[YR1990']]])*100</f>
        <v>7.1962567580914296</v>
      </c>
      <c r="G159" s="14">
        <f>((Table1[[#This Row],[2024 '[YR2024']]] / Table1[[#This Row],[1990 '[YR1990']]]) ^ (1 / (2024 - 1990)) - 1) * 100</f>
        <v>0.20459472685276925</v>
      </c>
      <c r="H159">
        <v>9983218</v>
      </c>
      <c r="I159">
        <v>10289898</v>
      </c>
      <c r="J159">
        <v>10358076</v>
      </c>
      <c r="K159">
        <v>10325452</v>
      </c>
      <c r="L159">
        <v>10300300</v>
      </c>
      <c r="M159">
        <v>10283822</v>
      </c>
      <c r="N159">
        <v>10286263</v>
      </c>
      <c r="O159">
        <v>10297081</v>
      </c>
      <c r="P159">
        <v>10361831</v>
      </c>
      <c r="Q159">
        <v>10434332</v>
      </c>
      <c r="R159">
        <v>10578174</v>
      </c>
      <c r="S159">
        <v>10701636</v>
      </c>
    </row>
    <row r="160" spans="1:19" x14ac:dyDescent="0.35">
      <c r="A160" t="s">
        <v>16</v>
      </c>
      <c r="B160" t="s">
        <v>17</v>
      </c>
      <c r="C160" t="s">
        <v>329</v>
      </c>
      <c r="D160" t="s">
        <v>330</v>
      </c>
      <c r="E160" t="str">
        <f>VLOOKUP(C160, Continent!A:B, 2, FALSE)</f>
        <v>North America</v>
      </c>
      <c r="F160" s="14">
        <f>((Table1[[#This Row],[2024 '[YR2024']]]-Table1[[#This Row],[1990 '[YR1990']]])/Table1[[#This Row],[1990 '[YR1990']]])*100</f>
        <v>-9.4346904156064468</v>
      </c>
      <c r="G160" s="14">
        <f>((Table1[[#This Row],[2024 '[YR2024']]] / Table1[[#This Row],[1990 '[YR1990']]]) ^ (1 / (2024 - 1990)) - 1) * 100</f>
        <v>-0.29104312440685343</v>
      </c>
      <c r="H160">
        <v>3537000</v>
      </c>
      <c r="I160">
        <v>3810605</v>
      </c>
      <c r="J160">
        <v>3535167</v>
      </c>
      <c r="K160">
        <v>3480432</v>
      </c>
      <c r="L160">
        <v>3410837</v>
      </c>
      <c r="M160">
        <v>3290690</v>
      </c>
      <c r="N160">
        <v>3302691</v>
      </c>
      <c r="O160">
        <v>3281590</v>
      </c>
      <c r="P160">
        <v>3262711</v>
      </c>
      <c r="Q160">
        <v>3220137</v>
      </c>
      <c r="R160">
        <v>3203792</v>
      </c>
      <c r="S160">
        <v>3203295</v>
      </c>
    </row>
    <row r="161" spans="1:19" x14ac:dyDescent="0.35">
      <c r="A161" t="s">
        <v>16</v>
      </c>
      <c r="B161" t="s">
        <v>17</v>
      </c>
      <c r="C161" t="s">
        <v>331</v>
      </c>
      <c r="D161" t="s">
        <v>332</v>
      </c>
      <c r="E161" t="str">
        <f>VLOOKUP(C161, Continent!A:B, 2, FALSE)</f>
        <v>Asia</v>
      </c>
      <c r="F161" s="14">
        <f>((Table1[[#This Row],[2024 '[YR2024']]]-Table1[[#This Row],[1990 '[YR1990']]])/Table1[[#This Row],[1990 '[YR1990']]])*100</f>
        <v>549.24677685011648</v>
      </c>
      <c r="G161" s="14">
        <f>((Table1[[#This Row],[2024 '[YR2024']]] / Table1[[#This Row],[1990 '[YR1990']]]) ^ (1 / (2024 - 1990)) - 1) * 100</f>
        <v>5.6560586593142892</v>
      </c>
      <c r="H161">
        <v>440175</v>
      </c>
      <c r="I161">
        <v>644989</v>
      </c>
      <c r="J161">
        <v>2344557</v>
      </c>
      <c r="K161">
        <v>2477113</v>
      </c>
      <c r="L161">
        <v>2545820</v>
      </c>
      <c r="M161">
        <v>2580734</v>
      </c>
      <c r="N161">
        <v>2638657</v>
      </c>
      <c r="O161">
        <v>2794148</v>
      </c>
      <c r="P161">
        <v>2504910</v>
      </c>
      <c r="Q161">
        <v>2657333</v>
      </c>
      <c r="R161">
        <v>2656032</v>
      </c>
      <c r="S161">
        <v>2857822</v>
      </c>
    </row>
    <row r="162" spans="1:19" x14ac:dyDescent="0.35">
      <c r="A162" t="s">
        <v>16</v>
      </c>
      <c r="B162" t="s">
        <v>17</v>
      </c>
      <c r="C162" t="s">
        <v>333</v>
      </c>
      <c r="D162" t="s">
        <v>334</v>
      </c>
      <c r="E162" t="str">
        <f>VLOOKUP(C162, Continent!A:B, 2, FALSE)</f>
        <v>Europe</v>
      </c>
      <c r="F162" s="14">
        <f>((Table1[[#This Row],[2024 '[YR2024']]]-Table1[[#This Row],[1990 '[YR1990']]])/Table1[[#This Row],[1990 '[YR1990']]])*100</f>
        <v>-17.811069684790017</v>
      </c>
      <c r="G162" s="14">
        <f>((Table1[[#This Row],[2024 '[YR2024']]] / Table1[[#This Row],[1990 '[YR1990']]]) ^ (1 / (2024 - 1990)) - 1) * 100</f>
        <v>-0.57524953972520887</v>
      </c>
      <c r="H162">
        <v>23201835</v>
      </c>
      <c r="I162">
        <v>22442971</v>
      </c>
      <c r="J162">
        <v>19815616</v>
      </c>
      <c r="K162">
        <v>19702267</v>
      </c>
      <c r="L162">
        <v>19588715</v>
      </c>
      <c r="M162">
        <v>19473970</v>
      </c>
      <c r="N162">
        <v>19371648</v>
      </c>
      <c r="O162">
        <v>19265250</v>
      </c>
      <c r="P162">
        <v>19122059</v>
      </c>
      <c r="Q162">
        <v>19048502</v>
      </c>
      <c r="R162">
        <v>19059479</v>
      </c>
      <c r="S162">
        <v>19069340</v>
      </c>
    </row>
    <row r="163" spans="1:19" x14ac:dyDescent="0.35">
      <c r="A163" t="s">
        <v>16</v>
      </c>
      <c r="B163" t="s">
        <v>17</v>
      </c>
      <c r="C163" t="s">
        <v>335</v>
      </c>
      <c r="D163" t="s">
        <v>336</v>
      </c>
      <c r="E163" t="str">
        <f>VLOOKUP(C163, Continent!A:B, 2, FALSE)</f>
        <v>Europe</v>
      </c>
      <c r="F163" s="14">
        <f>((Table1[[#This Row],[2024 '[YR2024']]]-Table1[[#This Row],[1990 '[YR1990']]])/Table1[[#This Row],[1990 '[YR1990']]])*100</f>
        <v>-2.9976162775161779</v>
      </c>
      <c r="G163" s="14">
        <f>((Table1[[#This Row],[2024 '[YR2024']]] / Table1[[#This Row],[1990 '[YR1990']]]) ^ (1 / (2024 - 1990)) - 1) * 100</f>
        <v>-8.9473575939391647E-2</v>
      </c>
      <c r="H163">
        <v>147969406</v>
      </c>
      <c r="I163">
        <v>146596869</v>
      </c>
      <c r="J163">
        <v>144640716</v>
      </c>
      <c r="K163">
        <v>145015460</v>
      </c>
      <c r="L163">
        <v>145293260</v>
      </c>
      <c r="M163">
        <v>145398106</v>
      </c>
      <c r="N163">
        <v>145453291</v>
      </c>
      <c r="O163">
        <v>145245148</v>
      </c>
      <c r="P163">
        <v>144746762</v>
      </c>
      <c r="Q163">
        <v>144236933</v>
      </c>
      <c r="R163">
        <v>143826130</v>
      </c>
      <c r="S163">
        <v>143533851</v>
      </c>
    </row>
    <row r="164" spans="1:19" x14ac:dyDescent="0.35">
      <c r="A164" t="s">
        <v>16</v>
      </c>
      <c r="B164" t="s">
        <v>17</v>
      </c>
      <c r="C164" t="s">
        <v>337</v>
      </c>
      <c r="D164" t="s">
        <v>338</v>
      </c>
      <c r="E164" t="str">
        <f>VLOOKUP(C164, Continent!A:B, 2, FALSE)</f>
        <v>Africa</v>
      </c>
      <c r="F164" s="14">
        <f>((Table1[[#This Row],[2024 '[YR2024']]]-Table1[[#This Row],[1990 '[YR1990']]])/Table1[[#This Row],[1990 '[YR1990']]])*100</f>
        <v>93.301336473180029</v>
      </c>
      <c r="G164" s="14">
        <f>((Table1[[#This Row],[2024 '[YR2024']]] / Table1[[#This Row],[1990 '[YR1990']]]) ^ (1 / (2024 - 1990)) - 1) * 100</f>
        <v>1.9573812645395039</v>
      </c>
      <c r="H164">
        <v>7375307</v>
      </c>
      <c r="I164">
        <v>8213931</v>
      </c>
      <c r="J164">
        <v>11640022</v>
      </c>
      <c r="K164">
        <v>11919183</v>
      </c>
      <c r="L164">
        <v>12202060</v>
      </c>
      <c r="M164">
        <v>12487996</v>
      </c>
      <c r="N164">
        <v>12776103</v>
      </c>
      <c r="O164">
        <v>13065837</v>
      </c>
      <c r="P164">
        <v>13355260</v>
      </c>
      <c r="Q164">
        <v>13651030</v>
      </c>
      <c r="R164">
        <v>13954471</v>
      </c>
      <c r="S164">
        <v>14256567</v>
      </c>
    </row>
    <row r="165" spans="1:19" x14ac:dyDescent="0.35">
      <c r="A165" t="s">
        <v>16</v>
      </c>
      <c r="B165" t="s">
        <v>17</v>
      </c>
      <c r="C165" t="s">
        <v>339</v>
      </c>
      <c r="D165" t="s">
        <v>340</v>
      </c>
      <c r="E165" t="str">
        <f>VLOOKUP(C165, Continent!A:B, 2, FALSE)</f>
        <v>Oceania</v>
      </c>
      <c r="F165" s="14">
        <f>((Table1[[#This Row],[2024 '[YR2024']]]-Table1[[#This Row],[1990 '[YR1990']]])/Table1[[#This Row],[1990 '[YR1990']]])*100</f>
        <v>28.973272914423635</v>
      </c>
      <c r="G165" s="14">
        <f>((Table1[[#This Row],[2024 '[YR2024']]] / Table1[[#This Row],[1990 '[YR1990']]]) ^ (1 / (2024 - 1990)) - 1) * 100</f>
        <v>0.75114531378730476</v>
      </c>
      <c r="H165">
        <v>169042</v>
      </c>
      <c r="I165">
        <v>181685</v>
      </c>
      <c r="J165">
        <v>201782</v>
      </c>
      <c r="K165">
        <v>203499</v>
      </c>
      <c r="L165">
        <v>205415</v>
      </c>
      <c r="M165">
        <v>207582</v>
      </c>
      <c r="N165">
        <v>209780</v>
      </c>
      <c r="O165">
        <v>211944</v>
      </c>
      <c r="P165">
        <v>213779</v>
      </c>
      <c r="Q165">
        <v>215261</v>
      </c>
      <c r="R165">
        <v>216663</v>
      </c>
      <c r="S165">
        <v>218019</v>
      </c>
    </row>
    <row r="166" spans="1:19" x14ac:dyDescent="0.35">
      <c r="A166" t="s">
        <v>16</v>
      </c>
      <c r="B166" t="s">
        <v>17</v>
      </c>
      <c r="C166" t="s">
        <v>341</v>
      </c>
      <c r="D166" t="s">
        <v>342</v>
      </c>
      <c r="E166" t="str">
        <f>VLOOKUP(C166, Continent!A:B, 2, FALSE)</f>
        <v>Europe</v>
      </c>
      <c r="F166" s="14">
        <f>((Table1[[#This Row],[2024 '[YR2024']]]-Table1[[#This Row],[1990 '[YR1990']]])/Table1[[#This Row],[1990 '[YR1990']]])*100</f>
        <v>44.736954206602768</v>
      </c>
      <c r="G166" s="14">
        <f>((Table1[[#This Row],[2024 '[YR2024']]] / Table1[[#This Row],[1990 '[YR1990']]]) ^ (1 / (2024 - 1990)) - 1) * 100</f>
        <v>1.0934282340317347</v>
      </c>
      <c r="H166">
        <v>23475</v>
      </c>
      <c r="I166">
        <v>26799</v>
      </c>
      <c r="J166">
        <v>32897</v>
      </c>
      <c r="K166">
        <v>33101</v>
      </c>
      <c r="L166">
        <v>33825</v>
      </c>
      <c r="M166">
        <v>34522</v>
      </c>
      <c r="N166">
        <v>34663</v>
      </c>
      <c r="O166">
        <v>34770</v>
      </c>
      <c r="P166">
        <v>34252</v>
      </c>
      <c r="Q166">
        <v>33755</v>
      </c>
      <c r="R166">
        <v>33860</v>
      </c>
      <c r="S166">
        <v>33977</v>
      </c>
    </row>
    <row r="167" spans="1:19" x14ac:dyDescent="0.35">
      <c r="A167" t="s">
        <v>16</v>
      </c>
      <c r="B167" t="s">
        <v>17</v>
      </c>
      <c r="C167" t="s">
        <v>343</v>
      </c>
      <c r="D167" t="s">
        <v>344</v>
      </c>
      <c r="E167" t="str">
        <f>VLOOKUP(C167, Continent!A:B, 2, FALSE)</f>
        <v>Africa</v>
      </c>
      <c r="F167" s="14">
        <f>((Table1[[#This Row],[2024 '[YR2024']]]-Table1[[#This Row],[1990 '[YR1990']]])/Table1[[#This Row],[1990 '[YR1990']]])*100</f>
        <v>91.523825012197108</v>
      </c>
      <c r="G167" s="14">
        <f>((Table1[[#This Row],[2024 '[YR2024']]] / Table1[[#This Row],[1990 '[YR1990']]]) ^ (1 / (2024 - 1990)) - 1) * 100</f>
        <v>1.9296823475053682</v>
      </c>
      <c r="H167">
        <v>122980</v>
      </c>
      <c r="I167">
        <v>144018</v>
      </c>
      <c r="J167">
        <v>200291</v>
      </c>
      <c r="K167">
        <v>203689</v>
      </c>
      <c r="L167">
        <v>206970</v>
      </c>
      <c r="M167">
        <v>210187</v>
      </c>
      <c r="N167">
        <v>213392</v>
      </c>
      <c r="O167">
        <v>217435</v>
      </c>
      <c r="P167">
        <v>221961</v>
      </c>
      <c r="Q167">
        <v>226305</v>
      </c>
      <c r="R167">
        <v>230871</v>
      </c>
      <c r="S167">
        <v>235536</v>
      </c>
    </row>
    <row r="168" spans="1:19" x14ac:dyDescent="0.35">
      <c r="A168" t="s">
        <v>16</v>
      </c>
      <c r="B168" t="s">
        <v>17</v>
      </c>
      <c r="C168" t="s">
        <v>345</v>
      </c>
      <c r="D168" t="s">
        <v>346</v>
      </c>
      <c r="E168" t="str">
        <f>VLOOKUP(C168, Continent!A:B, 2, FALSE)</f>
        <v>Asia</v>
      </c>
      <c r="F168" s="14">
        <f>((Table1[[#This Row],[2024 '[YR2024']]]-Table1[[#This Row],[1990 '[YR1990']]])/Table1[[#This Row],[1990 '[YR1990']]])*100</f>
        <v>231.74800395951732</v>
      </c>
      <c r="G168" s="14">
        <f>((Table1[[#This Row],[2024 '[YR2024']]] / Table1[[#This Row],[1990 '[YR1990']]]) ^ (1 / (2024 - 1990)) - 1) * 100</f>
        <v>3.5900139898916716</v>
      </c>
      <c r="H168">
        <v>10640691</v>
      </c>
      <c r="I168">
        <v>16177722</v>
      </c>
      <c r="J168">
        <v>29816382</v>
      </c>
      <c r="K168">
        <v>30954198</v>
      </c>
      <c r="L168">
        <v>30977355</v>
      </c>
      <c r="M168">
        <v>30196281</v>
      </c>
      <c r="N168">
        <v>30063799</v>
      </c>
      <c r="O168">
        <v>31552510</v>
      </c>
      <c r="P168">
        <v>30784383</v>
      </c>
      <c r="Q168">
        <v>32175224</v>
      </c>
      <c r="R168">
        <v>33702731</v>
      </c>
      <c r="S168">
        <v>35300280</v>
      </c>
    </row>
    <row r="169" spans="1:19" x14ac:dyDescent="0.35">
      <c r="A169" t="s">
        <v>16</v>
      </c>
      <c r="B169" t="s">
        <v>17</v>
      </c>
      <c r="C169" t="s">
        <v>347</v>
      </c>
      <c r="D169" t="s">
        <v>348</v>
      </c>
      <c r="E169" t="str">
        <f>VLOOKUP(C169, Continent!A:B, 2, FALSE)</f>
        <v>Africa</v>
      </c>
      <c r="F169" s="14">
        <f>((Table1[[#This Row],[2024 '[YR2024']]]-Table1[[#This Row],[1990 '[YR1990']]])/Table1[[#This Row],[1990 '[YR1990']]])*100</f>
        <v>139.6467700439465</v>
      </c>
      <c r="G169" s="14">
        <f>((Table1[[#This Row],[2024 '[YR2024']]] / Table1[[#This Row],[1990 '[YR1990']]]) ^ (1 / (2024 - 1990)) - 1) * 100</f>
        <v>2.603900299275641</v>
      </c>
      <c r="H169">
        <v>7720523</v>
      </c>
      <c r="I169">
        <v>9968260</v>
      </c>
      <c r="J169">
        <v>14593331</v>
      </c>
      <c r="K169">
        <v>15034521</v>
      </c>
      <c r="L169">
        <v>15475002</v>
      </c>
      <c r="M169">
        <v>15914498</v>
      </c>
      <c r="N169">
        <v>16352922</v>
      </c>
      <c r="O169">
        <v>16789219</v>
      </c>
      <c r="P169">
        <v>17220867</v>
      </c>
      <c r="Q169">
        <v>17651103</v>
      </c>
      <c r="R169">
        <v>18077573</v>
      </c>
      <c r="S169">
        <v>18501984</v>
      </c>
    </row>
    <row r="170" spans="1:19" x14ac:dyDescent="0.35">
      <c r="A170" t="s">
        <v>16</v>
      </c>
      <c r="B170" t="s">
        <v>17</v>
      </c>
      <c r="C170" t="s">
        <v>349</v>
      </c>
      <c r="D170" t="s">
        <v>350</v>
      </c>
      <c r="E170" t="str">
        <f>VLOOKUP(C170, Continent!A:B, 2, FALSE)</f>
        <v>Europe</v>
      </c>
      <c r="F170" s="14">
        <f>((Table1[[#This Row],[2024 '[YR2024']]]-Table1[[#This Row],[1990 '[YR1990']]])/Table1[[#This Row],[1990 '[YR1990']]])*100</f>
        <v>-16.595916123412987</v>
      </c>
      <c r="G170" s="14">
        <f>((Table1[[#This Row],[2024 '[YR2024']]] / Table1[[#This Row],[1990 '[YR1990']]]) ^ (1 / (2024 - 1990)) - 1) * 100</f>
        <v>-0.53232197269421633</v>
      </c>
      <c r="H170">
        <v>7897937</v>
      </c>
      <c r="I170">
        <v>7516346</v>
      </c>
      <c r="J170">
        <v>7095383</v>
      </c>
      <c r="K170">
        <v>7058322</v>
      </c>
      <c r="L170">
        <v>7020858</v>
      </c>
      <c r="M170">
        <v>6982604</v>
      </c>
      <c r="N170">
        <v>6945235</v>
      </c>
      <c r="O170">
        <v>6899126</v>
      </c>
      <c r="P170">
        <v>6834326</v>
      </c>
      <c r="Q170">
        <v>6664449</v>
      </c>
      <c r="R170">
        <v>6623183</v>
      </c>
      <c r="S170">
        <v>6587202</v>
      </c>
    </row>
    <row r="171" spans="1:19" x14ac:dyDescent="0.35">
      <c r="A171" t="s">
        <v>16</v>
      </c>
      <c r="B171" t="s">
        <v>17</v>
      </c>
      <c r="C171" t="s">
        <v>351</v>
      </c>
      <c r="D171" t="s">
        <v>352</v>
      </c>
      <c r="E171" t="str">
        <f>VLOOKUP(C171, Continent!A:B, 2, FALSE)</f>
        <v>Africa</v>
      </c>
      <c r="F171" s="14">
        <f>((Table1[[#This Row],[2024 '[YR2024']]]-Table1[[#This Row],[1990 '[YR1990']]])/Table1[[#This Row],[1990 '[YR1990']]])*100</f>
        <v>74.592487087631469</v>
      </c>
      <c r="G171" s="14">
        <f>((Table1[[#This Row],[2024 '[YR2024']]] / Table1[[#This Row],[1990 '[YR1990']]]) ^ (1 / (2024 - 1990)) - 1) * 100</f>
        <v>1.6525783200067146</v>
      </c>
      <c r="H171">
        <v>69507</v>
      </c>
      <c r="I171">
        <v>81131</v>
      </c>
      <c r="J171">
        <v>93419</v>
      </c>
      <c r="K171">
        <v>94677</v>
      </c>
      <c r="L171">
        <v>95843</v>
      </c>
      <c r="M171">
        <v>96762</v>
      </c>
      <c r="N171">
        <v>97625</v>
      </c>
      <c r="O171">
        <v>98462</v>
      </c>
      <c r="P171">
        <v>99258</v>
      </c>
      <c r="Q171">
        <v>119878</v>
      </c>
      <c r="R171">
        <v>119773</v>
      </c>
      <c r="S171">
        <v>121354</v>
      </c>
    </row>
    <row r="172" spans="1:19" x14ac:dyDescent="0.35">
      <c r="A172" t="s">
        <v>16</v>
      </c>
      <c r="B172" t="s">
        <v>17</v>
      </c>
      <c r="C172" t="s">
        <v>353</v>
      </c>
      <c r="D172" t="s">
        <v>354</v>
      </c>
      <c r="E172" t="str">
        <f>VLOOKUP(C172, Continent!A:B, 2, FALSE)</f>
        <v>Africa</v>
      </c>
      <c r="F172" s="14">
        <f>((Table1[[#This Row],[2024 '[YR2024']]]-Table1[[#This Row],[1990 '[YR1990']]])/Table1[[#This Row],[1990 '[YR1990']]])*100</f>
        <v>105.91794564847548</v>
      </c>
      <c r="G172" s="14">
        <f>((Table1[[#This Row],[2024 '[YR2024']]] / Table1[[#This Row],[1990 '[YR1990']]]) ^ (1 / (2024 - 1990)) - 1) * 100</f>
        <v>2.1471608162212608</v>
      </c>
      <c r="H172">
        <v>4196828</v>
      </c>
      <c r="I172">
        <v>4423611</v>
      </c>
      <c r="J172">
        <v>7037655</v>
      </c>
      <c r="K172">
        <v>7205328</v>
      </c>
      <c r="L172">
        <v>7379299</v>
      </c>
      <c r="M172">
        <v>7554563</v>
      </c>
      <c r="N172">
        <v>7731991</v>
      </c>
      <c r="O172">
        <v>7912558</v>
      </c>
      <c r="P172">
        <v>8094602</v>
      </c>
      <c r="Q172">
        <v>8276807</v>
      </c>
      <c r="R172">
        <v>8460512</v>
      </c>
      <c r="S172">
        <v>8642022</v>
      </c>
    </row>
    <row r="173" spans="1:19" x14ac:dyDescent="0.35">
      <c r="A173" t="s">
        <v>16</v>
      </c>
      <c r="B173" t="s">
        <v>17</v>
      </c>
      <c r="C173" t="s">
        <v>355</v>
      </c>
      <c r="D173" t="s">
        <v>356</v>
      </c>
      <c r="E173" t="str">
        <f>VLOOKUP(C173, Continent!A:B, 2, FALSE)</f>
        <v>Asia</v>
      </c>
      <c r="F173" s="14">
        <f>((Table1[[#This Row],[2024 '[YR2024']]]-Table1[[#This Row],[1990 '[YR1990']]])/Table1[[#This Row],[1990 '[YR1990']]])*100</f>
        <v>98.116130184055038</v>
      </c>
      <c r="G173" s="14">
        <f>((Table1[[#This Row],[2024 '[YR2024']]] / Table1[[#This Row],[1990 '[YR1990']]]) ^ (1 / (2024 - 1990)) - 1) * 100</f>
        <v>2.0311863489707038</v>
      </c>
      <c r="H173">
        <v>3047132</v>
      </c>
      <c r="I173">
        <v>4027887</v>
      </c>
      <c r="J173">
        <v>5535002</v>
      </c>
      <c r="K173">
        <v>5607283</v>
      </c>
      <c r="L173">
        <v>5612253</v>
      </c>
      <c r="M173">
        <v>5638676</v>
      </c>
      <c r="N173">
        <v>5703569</v>
      </c>
      <c r="O173">
        <v>5685807</v>
      </c>
      <c r="P173">
        <v>5453566</v>
      </c>
      <c r="Q173">
        <v>5637022</v>
      </c>
      <c r="R173">
        <v>5917648</v>
      </c>
      <c r="S173">
        <v>6036860</v>
      </c>
    </row>
    <row r="174" spans="1:19" x14ac:dyDescent="0.35">
      <c r="A174" t="s">
        <v>16</v>
      </c>
      <c r="B174" t="s">
        <v>17</v>
      </c>
      <c r="C174" t="s">
        <v>357</v>
      </c>
      <c r="D174" t="s">
        <v>358</v>
      </c>
      <c r="E174" t="str">
        <f>VLOOKUP(C174, Continent!A:B, 2, FALSE)</f>
        <v>North America</v>
      </c>
      <c r="F174" s="14">
        <f>((Table1[[#This Row],[2024 '[YR2024']]]-Table1[[#This Row],[1990 '[YR1990']]])/Table1[[#This Row],[1990 '[YR1990']]])*100</f>
        <v>54.484872242614301</v>
      </c>
      <c r="G174" s="14">
        <f>((Table1[[#This Row],[2024 '[YR2024']]] / Table1[[#This Row],[1990 '[YR1990']]]) ^ (1 / (2024 - 1990)) - 1) * 100</f>
        <v>1.2874107779984323</v>
      </c>
      <c r="H174">
        <v>28061</v>
      </c>
      <c r="I174">
        <v>30773</v>
      </c>
      <c r="J174">
        <v>37471</v>
      </c>
      <c r="K174">
        <v>38249</v>
      </c>
      <c r="L174">
        <v>38996</v>
      </c>
      <c r="M174">
        <v>39712</v>
      </c>
      <c r="N174">
        <v>40385</v>
      </c>
      <c r="O174">
        <v>41008</v>
      </c>
      <c r="P174">
        <v>41571</v>
      </c>
      <c r="Q174">
        <v>42139</v>
      </c>
      <c r="R174">
        <v>42749</v>
      </c>
      <c r="S174">
        <v>43350</v>
      </c>
    </row>
    <row r="175" spans="1:19" x14ac:dyDescent="0.35">
      <c r="A175" t="s">
        <v>16</v>
      </c>
      <c r="B175" t="s">
        <v>17</v>
      </c>
      <c r="C175" t="s">
        <v>359</v>
      </c>
      <c r="D175" t="s">
        <v>360</v>
      </c>
      <c r="E175" t="str">
        <f>VLOOKUP(C175, Continent!A:B, 2, FALSE)</f>
        <v>Europe</v>
      </c>
      <c r="F175" s="14">
        <f>((Table1[[#This Row],[2024 '[YR2024']]]-Table1[[#This Row],[1990 '[YR1990']]])/Table1[[#This Row],[1990 '[YR1990']]])*100</f>
        <v>2.318884009943412</v>
      </c>
      <c r="G175" s="14">
        <f>((Table1[[#This Row],[2024 '[YR2024']]] / Table1[[#This Row],[1990 '[YR1990']]]) ^ (1 / (2024 - 1990)) - 1) * 100</f>
        <v>6.7446453609187884E-2</v>
      </c>
      <c r="H175">
        <v>5299187</v>
      </c>
      <c r="I175">
        <v>5388720</v>
      </c>
      <c r="J175">
        <v>5423801</v>
      </c>
      <c r="K175">
        <v>5430798</v>
      </c>
      <c r="L175">
        <v>5439232</v>
      </c>
      <c r="M175">
        <v>5446771</v>
      </c>
      <c r="N175">
        <v>5454147</v>
      </c>
      <c r="O175">
        <v>5458827</v>
      </c>
      <c r="P175">
        <v>5447247</v>
      </c>
      <c r="Q175">
        <v>5431752</v>
      </c>
      <c r="R175">
        <v>5426740</v>
      </c>
      <c r="S175">
        <v>5422069</v>
      </c>
    </row>
    <row r="176" spans="1:19" x14ac:dyDescent="0.35">
      <c r="A176" t="s">
        <v>16</v>
      </c>
      <c r="B176" t="s">
        <v>17</v>
      </c>
      <c r="C176" t="s">
        <v>361</v>
      </c>
      <c r="D176" t="s">
        <v>362</v>
      </c>
      <c r="E176" t="str">
        <f>VLOOKUP(C176, Continent!A:B, 2, FALSE)</f>
        <v>Europe</v>
      </c>
      <c r="F176" s="14">
        <f>((Table1[[#This Row],[2024 '[YR2024']]]-Table1[[#This Row],[1990 '[YR1990']]])/Table1[[#This Row],[1990 '[YR1990']]])*100</f>
        <v>6.4140477168756673</v>
      </c>
      <c r="G176" s="14">
        <f>((Table1[[#This Row],[2024 '[YR2024']]] / Table1[[#This Row],[1990 '[YR1990']]]) ^ (1 / (2024 - 1990)) - 1) * 100</f>
        <v>0.18301258639725759</v>
      </c>
      <c r="H176">
        <v>1998161</v>
      </c>
      <c r="I176">
        <v>1988925</v>
      </c>
      <c r="J176">
        <v>2063531</v>
      </c>
      <c r="K176">
        <v>2065042</v>
      </c>
      <c r="L176">
        <v>2066388</v>
      </c>
      <c r="M176">
        <v>2073894</v>
      </c>
      <c r="N176">
        <v>2088385</v>
      </c>
      <c r="O176">
        <v>2102419</v>
      </c>
      <c r="P176">
        <v>2108079</v>
      </c>
      <c r="Q176">
        <v>2112076</v>
      </c>
      <c r="R176">
        <v>2120461</v>
      </c>
      <c r="S176">
        <v>2126324</v>
      </c>
    </row>
    <row r="177" spans="1:19" x14ac:dyDescent="0.35">
      <c r="A177" t="s">
        <v>16</v>
      </c>
      <c r="B177" t="s">
        <v>17</v>
      </c>
      <c r="C177" t="s">
        <v>363</v>
      </c>
      <c r="D177" t="s">
        <v>364</v>
      </c>
      <c r="E177" t="str">
        <f>VLOOKUP(C177, Continent!A:B, 2, FALSE)</f>
        <v>Oceania</v>
      </c>
      <c r="F177" s="14">
        <f>((Table1[[#This Row],[2024 '[YR2024']]]-Table1[[#This Row],[1990 '[YR1990']]])/Table1[[#This Row],[1990 '[YR1990']]])*100</f>
        <v>147.16701615701419</v>
      </c>
      <c r="G177" s="14">
        <f>((Table1[[#This Row],[2024 '[YR2024']]] / Table1[[#This Row],[1990 '[YR1990']]]) ^ (1 / (2024 - 1990)) - 1) * 100</f>
        <v>2.6971862057374896</v>
      </c>
      <c r="H177">
        <v>331435</v>
      </c>
      <c r="I177">
        <v>440469</v>
      </c>
      <c r="J177">
        <v>639415</v>
      </c>
      <c r="K177">
        <v>662379</v>
      </c>
      <c r="L177">
        <v>685672</v>
      </c>
      <c r="M177">
        <v>709101</v>
      </c>
      <c r="N177">
        <v>728147</v>
      </c>
      <c r="O177">
        <v>744498</v>
      </c>
      <c r="P177">
        <v>762591</v>
      </c>
      <c r="Q177">
        <v>781066</v>
      </c>
      <c r="R177">
        <v>800005</v>
      </c>
      <c r="S177">
        <v>819198</v>
      </c>
    </row>
    <row r="178" spans="1:19" x14ac:dyDescent="0.35">
      <c r="A178" t="s">
        <v>16</v>
      </c>
      <c r="B178" t="s">
        <v>17</v>
      </c>
      <c r="C178" t="s">
        <v>558</v>
      </c>
      <c r="D178" t="s">
        <v>365</v>
      </c>
      <c r="E178" t="str">
        <f>VLOOKUP(C178, Continent!A:B, 2, FALSE)</f>
        <v>Africa</v>
      </c>
      <c r="F178" s="14">
        <f>((Table1[[#This Row],[2024 '[YR2024']]]-Table1[[#This Row],[1990 '[YR1990']]])/Table1[[#This Row],[1990 '[YR1990']]])*100</f>
        <v>168.38427567811706</v>
      </c>
      <c r="G178" s="14">
        <f>((Table1[[#This Row],[2024 '[YR2024']]] / Table1[[#This Row],[1990 '[YR1990']]]) ^ (1 / (2024 - 1990)) - 1) * 100</f>
        <v>2.9462430520610372</v>
      </c>
      <c r="H178">
        <v>7082811</v>
      </c>
      <c r="I178">
        <v>8838713</v>
      </c>
      <c r="J178">
        <v>13806963</v>
      </c>
      <c r="K178">
        <v>14348740</v>
      </c>
      <c r="L178">
        <v>14916629</v>
      </c>
      <c r="M178">
        <v>15452487</v>
      </c>
      <c r="N178">
        <v>16030971</v>
      </c>
      <c r="O178">
        <v>16651191</v>
      </c>
      <c r="P178">
        <v>17271431</v>
      </c>
      <c r="Q178">
        <v>17801897</v>
      </c>
      <c r="R178">
        <v>18358615</v>
      </c>
      <c r="S178">
        <v>19009151</v>
      </c>
    </row>
    <row r="179" spans="1:19" x14ac:dyDescent="0.35">
      <c r="A179" t="s">
        <v>16</v>
      </c>
      <c r="B179" t="s">
        <v>17</v>
      </c>
      <c r="C179" t="s">
        <v>366</v>
      </c>
      <c r="D179" t="s">
        <v>367</v>
      </c>
      <c r="E179" t="str">
        <f>VLOOKUP(C179, Continent!A:B, 2, FALSE)</f>
        <v>Africa</v>
      </c>
      <c r="F179" s="14">
        <f>((Table1[[#This Row],[2024 '[YR2024']]]-Table1[[#This Row],[1990 '[YR1990']]])/Table1[[#This Row],[1990 '[YR1990']]])*100</f>
        <v>57.087238026314459</v>
      </c>
      <c r="G179" s="14">
        <f>((Table1[[#This Row],[2024 '[YR2024']]] / Table1[[#This Row],[1990 '[YR1990']]]) ^ (1 / (2024 - 1990)) - 1) * 100</f>
        <v>1.337188280917001</v>
      </c>
      <c r="H179">
        <v>40746268</v>
      </c>
      <c r="I179">
        <v>47159719</v>
      </c>
      <c r="J179">
        <v>56723537</v>
      </c>
      <c r="K179">
        <v>57259551</v>
      </c>
      <c r="L179">
        <v>57635162</v>
      </c>
      <c r="M179">
        <v>58613001</v>
      </c>
      <c r="N179">
        <v>59587885</v>
      </c>
      <c r="O179">
        <v>60562381</v>
      </c>
      <c r="P179">
        <v>61502603</v>
      </c>
      <c r="Q179">
        <v>62378410</v>
      </c>
      <c r="R179">
        <v>63212384</v>
      </c>
      <c r="S179">
        <v>64007187</v>
      </c>
    </row>
    <row r="180" spans="1:19" x14ac:dyDescent="0.35">
      <c r="A180" t="s">
        <v>16</v>
      </c>
      <c r="B180" t="s">
        <v>17</v>
      </c>
      <c r="C180" t="s">
        <v>368</v>
      </c>
      <c r="D180" t="s">
        <v>369</v>
      </c>
      <c r="E180" t="str">
        <f>VLOOKUP(C180, Continent!A:B, 2, FALSE)</f>
        <v>Africa</v>
      </c>
      <c r="F180" s="14">
        <f>((Table1[[#This Row],[2024 '[YR2024']]]-Table1[[#This Row],[1990 '[YR1990']]])/Table1[[#This Row],[1990 '[YR1990']]])*100</f>
        <v>152.0965216174406</v>
      </c>
      <c r="G180" s="14">
        <f>((Table1[[#This Row],[2024 '[YR2024']]] / Table1[[#This Row],[1990 '[YR1990']]]) ^ (1 / (2024 - 1990)) - 1) * 100</f>
        <v>2.7568517171437268</v>
      </c>
      <c r="H180">
        <v>4737633</v>
      </c>
      <c r="I180">
        <v>6032267</v>
      </c>
      <c r="J180">
        <v>11107561</v>
      </c>
      <c r="K180">
        <v>10830102</v>
      </c>
      <c r="L180">
        <v>10259154</v>
      </c>
      <c r="M180">
        <v>10122977</v>
      </c>
      <c r="N180">
        <v>10423384</v>
      </c>
      <c r="O180">
        <v>10698467</v>
      </c>
      <c r="P180">
        <v>10865780</v>
      </c>
      <c r="Q180">
        <v>11021177</v>
      </c>
      <c r="R180">
        <v>11483374</v>
      </c>
      <c r="S180">
        <v>11943408</v>
      </c>
    </row>
    <row r="181" spans="1:19" x14ac:dyDescent="0.35">
      <c r="A181" t="s">
        <v>16</v>
      </c>
      <c r="B181" t="s">
        <v>17</v>
      </c>
      <c r="C181" t="s">
        <v>370</v>
      </c>
      <c r="D181" t="s">
        <v>371</v>
      </c>
      <c r="E181" t="str">
        <f>VLOOKUP(C181, Continent!A:B, 2, FALSE)</f>
        <v>Europe</v>
      </c>
      <c r="F181" s="14">
        <f>((Table1[[#This Row],[2024 '[YR2024']]]-Table1[[#This Row],[1990 '[YR1990']]])/Table1[[#This Row],[1990 '[YR1990']]])*100</f>
        <v>25.573706879007513</v>
      </c>
      <c r="G181" s="14">
        <f>((Table1[[#This Row],[2024 '[YR2024']]] / Table1[[#This Row],[1990 '[YR1990']]]) ^ (1 / (2024 - 1990)) - 1) * 100</f>
        <v>0.67202065781801767</v>
      </c>
      <c r="H181">
        <v>38867322</v>
      </c>
      <c r="I181">
        <v>40567864</v>
      </c>
      <c r="J181">
        <v>46422303</v>
      </c>
      <c r="K181">
        <v>46458139</v>
      </c>
      <c r="L181">
        <v>46571232</v>
      </c>
      <c r="M181">
        <v>46782011</v>
      </c>
      <c r="N181">
        <v>47118501</v>
      </c>
      <c r="O181">
        <v>47359424</v>
      </c>
      <c r="P181">
        <v>47443821</v>
      </c>
      <c r="Q181">
        <v>47786102</v>
      </c>
      <c r="R181">
        <v>48347910</v>
      </c>
      <c r="S181">
        <v>48807137</v>
      </c>
    </row>
    <row r="182" spans="1:19" x14ac:dyDescent="0.35">
      <c r="A182" t="s">
        <v>16</v>
      </c>
      <c r="B182" t="s">
        <v>17</v>
      </c>
      <c r="C182" t="s">
        <v>372</v>
      </c>
      <c r="D182" t="s">
        <v>373</v>
      </c>
      <c r="E182" t="str">
        <f>VLOOKUP(C182, Continent!A:B, 2, FALSE)</f>
        <v>Asia</v>
      </c>
      <c r="F182" s="14">
        <f>((Table1[[#This Row],[2024 '[YR2024']]]-Table1[[#This Row],[1990 '[YR1990']]])/Table1[[#This Row],[1990 '[YR1990']]])*100</f>
        <v>34.022664971834814</v>
      </c>
      <c r="G182" s="14">
        <f>((Table1[[#This Row],[2024 '[YR2024']]] / Table1[[#This Row],[1990 '[YR1990']]]) ^ (1 / (2024 - 1990)) - 1) * 100</f>
        <v>0.86501019300588844</v>
      </c>
      <c r="H182">
        <v>16352458</v>
      </c>
      <c r="I182">
        <v>19293054</v>
      </c>
      <c r="J182">
        <v>20970000</v>
      </c>
      <c r="K182">
        <v>21209000</v>
      </c>
      <c r="L182">
        <v>21453000</v>
      </c>
      <c r="M182">
        <v>21670000</v>
      </c>
      <c r="N182">
        <v>21803000</v>
      </c>
      <c r="O182">
        <v>21919000</v>
      </c>
      <c r="P182">
        <v>22156000</v>
      </c>
      <c r="Q182">
        <v>22181000</v>
      </c>
      <c r="R182">
        <v>22037000</v>
      </c>
      <c r="S182">
        <v>21916000</v>
      </c>
    </row>
    <row r="183" spans="1:19" x14ac:dyDescent="0.35">
      <c r="A183" t="s">
        <v>16</v>
      </c>
      <c r="B183" t="s">
        <v>17</v>
      </c>
      <c r="C183" t="s">
        <v>374</v>
      </c>
      <c r="D183" t="s">
        <v>375</v>
      </c>
      <c r="E183" t="str">
        <f>VLOOKUP(C183, Continent!A:B, 2, FALSE)</f>
        <v>North America</v>
      </c>
      <c r="F183" s="14">
        <f>((Table1[[#This Row],[2024 '[YR2024']]]-Table1[[#This Row],[1990 '[YR1990']]])/Table1[[#This Row],[1990 '[YR1990']]])*100</f>
        <v>15.856252473288485</v>
      </c>
      <c r="G183" s="14">
        <f>((Table1[[#This Row],[2024 '[YR2024']]] / Table1[[#This Row],[1990 '[YR1990']]]) ^ (1 / (2024 - 1990)) - 1) * 100</f>
        <v>0.43382074201172571</v>
      </c>
      <c r="H183">
        <v>40432</v>
      </c>
      <c r="I183">
        <v>45248</v>
      </c>
      <c r="J183">
        <v>47087</v>
      </c>
      <c r="K183">
        <v>47075</v>
      </c>
      <c r="L183">
        <v>47050</v>
      </c>
      <c r="M183">
        <v>47008</v>
      </c>
      <c r="N183">
        <v>46952</v>
      </c>
      <c r="O183">
        <v>46870</v>
      </c>
      <c r="P183">
        <v>46763</v>
      </c>
      <c r="Q183">
        <v>46709</v>
      </c>
      <c r="R183">
        <v>46758</v>
      </c>
      <c r="S183">
        <v>46843</v>
      </c>
    </row>
    <row r="184" spans="1:19" x14ac:dyDescent="0.35">
      <c r="A184" t="s">
        <v>16</v>
      </c>
      <c r="B184" t="s">
        <v>17</v>
      </c>
      <c r="C184" t="s">
        <v>376</v>
      </c>
      <c r="D184" t="s">
        <v>377</v>
      </c>
      <c r="E184" t="str">
        <f>VLOOKUP(C184, Continent!A:B, 2, FALSE)</f>
        <v>North America</v>
      </c>
      <c r="F184" s="14">
        <f>((Table1[[#This Row],[2024 '[YR2024']]]-Table1[[#This Row],[1990 '[YR1990']]])/Table1[[#This Row],[1990 '[YR1990']]])*100</f>
        <v>30.384383818014321</v>
      </c>
      <c r="G184" s="14">
        <f>((Table1[[#This Row],[2024 '[YR2024']]] / Table1[[#This Row],[1990 '[YR1990']]]) ^ (1 / (2024 - 1990)) - 1) * 100</f>
        <v>0.78339584923543537</v>
      </c>
      <c r="H184">
        <v>137857</v>
      </c>
      <c r="I184">
        <v>158616</v>
      </c>
      <c r="J184">
        <v>174905</v>
      </c>
      <c r="K184">
        <v>175646</v>
      </c>
      <c r="L184">
        <v>176342</v>
      </c>
      <c r="M184">
        <v>177017</v>
      </c>
      <c r="N184">
        <v>177661</v>
      </c>
      <c r="O184">
        <v>178250</v>
      </c>
      <c r="P184">
        <v>178522</v>
      </c>
      <c r="Q184">
        <v>178781</v>
      </c>
      <c r="R184">
        <v>179285</v>
      </c>
      <c r="S184">
        <v>179744</v>
      </c>
    </row>
    <row r="185" spans="1:19" x14ac:dyDescent="0.35">
      <c r="A185" t="s">
        <v>16</v>
      </c>
      <c r="B185" t="s">
        <v>17</v>
      </c>
      <c r="C185" t="s">
        <v>378</v>
      </c>
      <c r="D185" t="s">
        <v>379</v>
      </c>
      <c r="E185" t="str">
        <f>VLOOKUP(C185, Continent!A:B, 2, FALSE)</f>
        <v>North America</v>
      </c>
      <c r="F185" s="14">
        <f>((Table1[[#This Row],[2024 '[YR2024']]]-Table1[[#This Row],[1990 '[YR1990']]])/Table1[[#This Row],[1990 '[YR1990']]])*100</f>
        <v>-7.4227607709750565</v>
      </c>
      <c r="G185" s="14">
        <f>((Table1[[#This Row],[2024 '[YR2024']]] / Table1[[#This Row],[1990 '[YR1990']]]) ^ (1 / (2024 - 1990)) - 1) * 100</f>
        <v>-0.22658664288743857</v>
      </c>
      <c r="H185">
        <v>28224</v>
      </c>
      <c r="I185">
        <v>29996</v>
      </c>
      <c r="J185">
        <v>37369</v>
      </c>
      <c r="K185">
        <v>37175</v>
      </c>
      <c r="L185">
        <v>36837</v>
      </c>
      <c r="M185">
        <v>36012</v>
      </c>
      <c r="N185">
        <v>34267</v>
      </c>
      <c r="O185">
        <v>31786</v>
      </c>
      <c r="P185">
        <v>29961</v>
      </c>
      <c r="Q185">
        <v>28870</v>
      </c>
      <c r="R185">
        <v>27515</v>
      </c>
      <c r="S185">
        <v>26129</v>
      </c>
    </row>
    <row r="186" spans="1:19" x14ac:dyDescent="0.35">
      <c r="A186" t="s">
        <v>16</v>
      </c>
      <c r="B186" t="s">
        <v>17</v>
      </c>
      <c r="C186" t="s">
        <v>380</v>
      </c>
      <c r="D186" t="s">
        <v>381</v>
      </c>
      <c r="E186" t="str">
        <f>VLOOKUP(C186, Continent!A:B, 2, FALSE)</f>
        <v>North America</v>
      </c>
      <c r="F186" s="14">
        <f>((Table1[[#This Row],[2024 '[YR2024']]]-Table1[[#This Row],[1990 '[YR1990']]])/Table1[[#This Row],[1990 '[YR1990']]])*100</f>
        <v>-10.013236504131935</v>
      </c>
      <c r="G186" s="14">
        <f>((Table1[[#This Row],[2024 '[YR2024']]] / Table1[[#This Row],[1990 '[YR1990']]]) ^ (1 / (2024 - 1990)) - 1) * 100</f>
        <v>-0.30983548299325925</v>
      </c>
      <c r="H186">
        <v>111812</v>
      </c>
      <c r="I186">
        <v>113545</v>
      </c>
      <c r="J186">
        <v>106960</v>
      </c>
      <c r="K186">
        <v>106349</v>
      </c>
      <c r="L186">
        <v>105663</v>
      </c>
      <c r="M186">
        <v>104926</v>
      </c>
      <c r="N186">
        <v>104167</v>
      </c>
      <c r="O186">
        <v>103526</v>
      </c>
      <c r="P186">
        <v>102841</v>
      </c>
      <c r="Q186">
        <v>102046</v>
      </c>
      <c r="R186">
        <v>101323</v>
      </c>
      <c r="S186">
        <v>100616</v>
      </c>
    </row>
    <row r="187" spans="1:19" x14ac:dyDescent="0.35">
      <c r="A187" t="s">
        <v>16</v>
      </c>
      <c r="B187" t="s">
        <v>17</v>
      </c>
      <c r="C187" t="s">
        <v>382</v>
      </c>
      <c r="D187" t="s">
        <v>383</v>
      </c>
      <c r="E187" t="str">
        <f>VLOOKUP(C187, Continent!A:B, 2, FALSE)</f>
        <v>Africa</v>
      </c>
      <c r="F187" s="14">
        <f>((Table1[[#This Row],[2024 '[YR2024']]]-Table1[[#This Row],[1990 '[YR1990']]])/Table1[[#This Row],[1990 '[YR1990']]])*100</f>
        <v>129.08978283522347</v>
      </c>
      <c r="G187" s="14">
        <f>((Table1[[#This Row],[2024 '[YR2024']]] / Table1[[#This Row],[1990 '[YR1990']]]) ^ (1 / (2024 - 1990)) - 1) * 100</f>
        <v>2.4680339616638625</v>
      </c>
      <c r="H187">
        <v>22021481</v>
      </c>
      <c r="I187">
        <v>27816745</v>
      </c>
      <c r="J187">
        <v>40024431</v>
      </c>
      <c r="K187">
        <v>41259892</v>
      </c>
      <c r="L187">
        <v>42714306</v>
      </c>
      <c r="M187">
        <v>44230596</v>
      </c>
      <c r="N187">
        <v>45548175</v>
      </c>
      <c r="O187">
        <v>46789231</v>
      </c>
      <c r="P187">
        <v>48066924</v>
      </c>
      <c r="Q187">
        <v>49383346</v>
      </c>
      <c r="R187">
        <v>50042791</v>
      </c>
      <c r="S187">
        <v>50448963</v>
      </c>
    </row>
    <row r="188" spans="1:19" x14ac:dyDescent="0.35">
      <c r="A188" t="s">
        <v>16</v>
      </c>
      <c r="B188" t="s">
        <v>17</v>
      </c>
      <c r="C188" t="s">
        <v>384</v>
      </c>
      <c r="D188" t="s">
        <v>385</v>
      </c>
      <c r="E188" t="str">
        <f>VLOOKUP(C188, Continent!A:B, 2, FALSE)</f>
        <v>South America</v>
      </c>
      <c r="F188" s="14">
        <f>((Table1[[#This Row],[2024 '[YR2024']]]-Table1[[#This Row],[1990 '[YR1990']]])/Table1[[#This Row],[1990 '[YR1990']]])*100</f>
        <v>53.804064553822727</v>
      </c>
      <c r="G188" s="14">
        <f>((Table1[[#This Row],[2024 '[YR2024']]] / Table1[[#This Row],[1990 '[YR1990']]]) ^ (1 / (2024 - 1990)) - 1) * 100</f>
        <v>1.2742541208305758</v>
      </c>
      <c r="H188">
        <v>412493</v>
      </c>
      <c r="I188">
        <v>476643</v>
      </c>
      <c r="J188">
        <v>581627</v>
      </c>
      <c r="K188">
        <v>587757</v>
      </c>
      <c r="L188">
        <v>593713</v>
      </c>
      <c r="M188">
        <v>599513</v>
      </c>
      <c r="N188">
        <v>605768</v>
      </c>
      <c r="O188">
        <v>612317</v>
      </c>
      <c r="P188">
        <v>617896</v>
      </c>
      <c r="Q188">
        <v>623164</v>
      </c>
      <c r="R188">
        <v>628886</v>
      </c>
      <c r="S188">
        <v>634431</v>
      </c>
    </row>
    <row r="189" spans="1:19" x14ac:dyDescent="0.35">
      <c r="A189" t="s">
        <v>16</v>
      </c>
      <c r="B189" t="s">
        <v>17</v>
      </c>
      <c r="C189" t="s">
        <v>386</v>
      </c>
      <c r="D189" t="s">
        <v>387</v>
      </c>
      <c r="E189" t="str">
        <f>VLOOKUP(C189, Continent!A:B, 2, FALSE)</f>
        <v>Europe</v>
      </c>
      <c r="F189" s="14">
        <f>((Table1[[#This Row],[2024 '[YR2024']]]-Table1[[#This Row],[1990 '[YR1990']]])/Table1[[#This Row],[1990 '[YR1990']]])*100</f>
        <v>23.49471627855894</v>
      </c>
      <c r="G189" s="14">
        <f>((Table1[[#This Row],[2024 '[YR2024']]] / Table1[[#This Row],[1990 '[YR1990']]]) ^ (1 / (2024 - 1990)) - 1) * 100</f>
        <v>0.62260128980842211</v>
      </c>
      <c r="H189">
        <v>8558835</v>
      </c>
      <c r="I189">
        <v>8872109</v>
      </c>
      <c r="J189">
        <v>9799186</v>
      </c>
      <c r="K189">
        <v>9923085</v>
      </c>
      <c r="L189">
        <v>10057698</v>
      </c>
      <c r="M189">
        <v>10175214</v>
      </c>
      <c r="N189">
        <v>10278887</v>
      </c>
      <c r="O189">
        <v>10353442</v>
      </c>
      <c r="P189">
        <v>10415811</v>
      </c>
      <c r="Q189">
        <v>10486941</v>
      </c>
      <c r="R189">
        <v>10536632</v>
      </c>
      <c r="S189">
        <v>10569709</v>
      </c>
    </row>
    <row r="190" spans="1:19" x14ac:dyDescent="0.35">
      <c r="A190" t="s">
        <v>16</v>
      </c>
      <c r="B190" t="s">
        <v>17</v>
      </c>
      <c r="C190" t="s">
        <v>388</v>
      </c>
      <c r="D190" t="s">
        <v>389</v>
      </c>
      <c r="E190" t="str">
        <f>VLOOKUP(C190, Continent!A:B, 2, FALSE)</f>
        <v>Europe</v>
      </c>
      <c r="F190" s="14">
        <f>((Table1[[#This Row],[2024 '[YR2024']]]-Table1[[#This Row],[1990 '[YR1990']]])/Table1[[#This Row],[1990 '[YR1990']]])*100</f>
        <v>34.525745515722612</v>
      </c>
      <c r="G190" s="14">
        <f>((Table1[[#This Row],[2024 '[YR2024']]] / Table1[[#This Row],[1990 '[YR1990']]]) ^ (1 / (2024 - 1990)) - 1) * 100</f>
        <v>0.87612574381099595</v>
      </c>
      <c r="H190">
        <v>6715519</v>
      </c>
      <c r="I190">
        <v>7184250</v>
      </c>
      <c r="J190">
        <v>8282396</v>
      </c>
      <c r="K190">
        <v>8373338</v>
      </c>
      <c r="L190">
        <v>8451840</v>
      </c>
      <c r="M190">
        <v>8514329</v>
      </c>
      <c r="N190">
        <v>8575280</v>
      </c>
      <c r="O190">
        <v>8638167</v>
      </c>
      <c r="P190">
        <v>8704546</v>
      </c>
      <c r="Q190">
        <v>8777088</v>
      </c>
      <c r="R190">
        <v>8888093</v>
      </c>
      <c r="S190">
        <v>9034102</v>
      </c>
    </row>
    <row r="191" spans="1:19" x14ac:dyDescent="0.35">
      <c r="A191" t="s">
        <v>16</v>
      </c>
      <c r="B191" t="s">
        <v>17</v>
      </c>
      <c r="C191" t="s">
        <v>390</v>
      </c>
      <c r="D191" t="s">
        <v>391</v>
      </c>
      <c r="E191" t="str">
        <f>VLOOKUP(C191, Continent!A:B, 2, FALSE)</f>
        <v>Asia</v>
      </c>
      <c r="F191" s="14">
        <f>((Table1[[#This Row],[2024 '[YR2024']]]-Table1[[#This Row],[1990 '[YR1990']]])/Table1[[#This Row],[1990 '[YR1990']]])*100</f>
        <v>96.139216395817613</v>
      </c>
      <c r="G191" s="14">
        <f>((Table1[[#This Row],[2024 '[YR2024']]] / Table1[[#This Row],[1990 '[YR1990']]]) ^ (1 / (2024 - 1990)) - 1) * 100</f>
        <v>2.0010955481968073</v>
      </c>
      <c r="H191">
        <v>12579208</v>
      </c>
      <c r="I191">
        <v>16637888</v>
      </c>
      <c r="J191">
        <v>19424618</v>
      </c>
      <c r="K191">
        <v>19193834</v>
      </c>
      <c r="L191">
        <v>19224668</v>
      </c>
      <c r="M191">
        <v>19577845</v>
      </c>
      <c r="N191">
        <v>20353534</v>
      </c>
      <c r="O191">
        <v>21049429</v>
      </c>
      <c r="P191">
        <v>21628839</v>
      </c>
      <c r="Q191">
        <v>22462173</v>
      </c>
      <c r="R191">
        <v>23594623</v>
      </c>
      <c r="S191">
        <v>24672760</v>
      </c>
    </row>
    <row r="192" spans="1:19" x14ac:dyDescent="0.35">
      <c r="A192" t="s">
        <v>16</v>
      </c>
      <c r="B192" t="s">
        <v>17</v>
      </c>
      <c r="C192" t="s">
        <v>392</v>
      </c>
      <c r="D192" t="s">
        <v>393</v>
      </c>
      <c r="E192" t="str">
        <f>VLOOKUP(C192, Continent!A:B, 2, FALSE)</f>
        <v>Asia</v>
      </c>
      <c r="F192" s="14">
        <f>((Table1[[#This Row],[2024 '[YR2024']]]-Table1[[#This Row],[1990 '[YR1990']]])/Table1[[#This Row],[1990 '[YR1990']]])*100</f>
        <v>96.17303429226817</v>
      </c>
      <c r="G192" s="14">
        <f>((Table1[[#This Row],[2024 '[YR2024']]] / Table1[[#This Row],[1990 '[YR1990']]]) ^ (1 / (2024 - 1990)) - 1) * 100</f>
        <v>2.001612763941818</v>
      </c>
      <c r="H192">
        <v>5398768</v>
      </c>
      <c r="I192">
        <v>6284735</v>
      </c>
      <c r="J192">
        <v>8643840</v>
      </c>
      <c r="K192">
        <v>8865631</v>
      </c>
      <c r="L192">
        <v>9085946</v>
      </c>
      <c r="M192">
        <v>9307333</v>
      </c>
      <c r="N192">
        <v>9529966</v>
      </c>
      <c r="O192">
        <v>9749310</v>
      </c>
      <c r="P192">
        <v>9966908</v>
      </c>
      <c r="Q192">
        <v>10182222</v>
      </c>
      <c r="R192">
        <v>10389799</v>
      </c>
      <c r="S192">
        <v>10590927</v>
      </c>
    </row>
    <row r="193" spans="1:19" x14ac:dyDescent="0.35">
      <c r="A193" t="s">
        <v>16</v>
      </c>
      <c r="B193" t="s">
        <v>17</v>
      </c>
      <c r="C193" t="s">
        <v>394</v>
      </c>
      <c r="D193" t="s">
        <v>395</v>
      </c>
      <c r="E193" t="str">
        <f>VLOOKUP(C193, Continent!A:B, 2, FALSE)</f>
        <v>Africa</v>
      </c>
      <c r="F193" s="14">
        <f>((Table1[[#This Row],[2024 '[YR2024']]]-Table1[[#This Row],[1990 '[YR1990']]])/Table1[[#This Row],[1990 '[YR1990']]])*100</f>
        <v>162.57990601146901</v>
      </c>
      <c r="G193" s="14">
        <f>((Table1[[#This Row],[2024 '[YR2024']]] / Table1[[#This Row],[1990 '[YR1990']]]) ^ (1 / (2024 - 1990)) - 1) * 100</f>
        <v>2.8800626979170962</v>
      </c>
      <c r="H193">
        <v>26110207</v>
      </c>
      <c r="I193">
        <v>34260139</v>
      </c>
      <c r="J193">
        <v>52020962</v>
      </c>
      <c r="K193">
        <v>53824013</v>
      </c>
      <c r="L193">
        <v>55652890</v>
      </c>
      <c r="M193">
        <v>57437145</v>
      </c>
      <c r="N193">
        <v>59174891</v>
      </c>
      <c r="O193">
        <v>60972798</v>
      </c>
      <c r="P193">
        <v>62830412</v>
      </c>
      <c r="Q193">
        <v>64711821</v>
      </c>
      <c r="R193">
        <v>66617606</v>
      </c>
      <c r="S193">
        <v>68560157</v>
      </c>
    </row>
    <row r="194" spans="1:19" x14ac:dyDescent="0.35">
      <c r="A194" t="s">
        <v>16</v>
      </c>
      <c r="B194" t="s">
        <v>17</v>
      </c>
      <c r="C194" t="s">
        <v>396</v>
      </c>
      <c r="D194" t="s">
        <v>397</v>
      </c>
      <c r="E194" t="str">
        <f>VLOOKUP(C194, Continent!A:B, 2, FALSE)</f>
        <v>Asia</v>
      </c>
      <c r="F194" s="14">
        <f>((Table1[[#This Row],[2024 '[YR2024']]]-Table1[[#This Row],[1990 '[YR1990']]])/Table1[[#This Row],[1990 '[YR1990']]])*100</f>
        <v>30.928386578991113</v>
      </c>
      <c r="G194" s="14">
        <f>((Table1[[#This Row],[2024 '[YR2024']]] / Table1[[#This Row],[1990 '[YR1990']]]) ^ (1 / (2024 - 1990)) - 1) * 100</f>
        <v>0.79573848051597285</v>
      </c>
      <c r="H194">
        <v>54738329</v>
      </c>
      <c r="I194">
        <v>63007815</v>
      </c>
      <c r="J194">
        <v>70540795</v>
      </c>
      <c r="K194">
        <v>70859841</v>
      </c>
      <c r="L194">
        <v>71160187</v>
      </c>
      <c r="M194">
        <v>71376079</v>
      </c>
      <c r="N194">
        <v>71522271</v>
      </c>
      <c r="O194">
        <v>71641484</v>
      </c>
      <c r="P194">
        <v>71727332</v>
      </c>
      <c r="Q194">
        <v>71735329</v>
      </c>
      <c r="R194">
        <v>71702435</v>
      </c>
      <c r="S194">
        <v>71668011</v>
      </c>
    </row>
    <row r="195" spans="1:19" x14ac:dyDescent="0.35">
      <c r="A195" t="s">
        <v>16</v>
      </c>
      <c r="B195" t="s">
        <v>17</v>
      </c>
      <c r="C195" t="s">
        <v>398</v>
      </c>
      <c r="D195" t="s">
        <v>399</v>
      </c>
      <c r="E195" t="str">
        <f>VLOOKUP(C195, Continent!A:B, 2, FALSE)</f>
        <v>Asia</v>
      </c>
      <c r="F195" s="14">
        <f>((Table1[[#This Row],[2024 '[YR2024']]]-Table1[[#This Row],[1990 '[YR1990']]])/Table1[[#This Row],[1990 '[YR1990']]])*100</f>
        <v>84.210851652868101</v>
      </c>
      <c r="G195" s="14">
        <f>((Table1[[#This Row],[2024 '[YR2024']]] / Table1[[#This Row],[1990 '[YR1990']]]) ^ (1 / (2024 - 1990)) - 1) * 100</f>
        <v>1.8130361212275847</v>
      </c>
      <c r="H195">
        <v>760345</v>
      </c>
      <c r="I195">
        <v>745088</v>
      </c>
      <c r="J195">
        <v>1205131</v>
      </c>
      <c r="K195">
        <v>1228312</v>
      </c>
      <c r="L195">
        <v>1251703</v>
      </c>
      <c r="M195">
        <v>1275959</v>
      </c>
      <c r="N195">
        <v>1300945</v>
      </c>
      <c r="O195">
        <v>1326053</v>
      </c>
      <c r="P195">
        <v>1350139</v>
      </c>
      <c r="Q195">
        <v>1369295</v>
      </c>
      <c r="R195">
        <v>1384286</v>
      </c>
      <c r="S195">
        <v>1400638</v>
      </c>
    </row>
    <row r="196" spans="1:19" x14ac:dyDescent="0.35">
      <c r="A196" t="s">
        <v>16</v>
      </c>
      <c r="B196" t="s">
        <v>17</v>
      </c>
      <c r="C196" t="s">
        <v>400</v>
      </c>
      <c r="D196" t="s">
        <v>401</v>
      </c>
      <c r="E196" t="str">
        <f>VLOOKUP(C196, Continent!A:B, 2, FALSE)</f>
        <v>Africa</v>
      </c>
      <c r="F196" s="14">
        <f>((Table1[[#This Row],[2024 '[YR2024']]]-Table1[[#This Row],[1990 '[YR1990']]])/Table1[[#This Row],[1990 '[YR1990']]])*100</f>
        <v>137.95460643934459</v>
      </c>
      <c r="G196" s="14">
        <f>((Table1[[#This Row],[2024 '[YR2024']]] / Table1[[#This Row],[1990 '[YR1990']]]) ^ (1 / (2024 - 1990)) - 1) * 100</f>
        <v>2.5825183010098174</v>
      </c>
      <c r="H196">
        <v>3998761</v>
      </c>
      <c r="I196">
        <v>5140037</v>
      </c>
      <c r="J196">
        <v>7663195</v>
      </c>
      <c r="K196">
        <v>7858289</v>
      </c>
      <c r="L196">
        <v>8057140</v>
      </c>
      <c r="M196">
        <v>8258778</v>
      </c>
      <c r="N196">
        <v>8463068</v>
      </c>
      <c r="O196">
        <v>8669720</v>
      </c>
      <c r="P196">
        <v>8878379</v>
      </c>
      <c r="Q196">
        <v>9089738</v>
      </c>
      <c r="R196">
        <v>9304337</v>
      </c>
      <c r="S196">
        <v>9515236</v>
      </c>
    </row>
    <row r="197" spans="1:19" x14ac:dyDescent="0.35">
      <c r="A197" t="s">
        <v>16</v>
      </c>
      <c r="B197" t="s">
        <v>17</v>
      </c>
      <c r="C197" t="s">
        <v>402</v>
      </c>
      <c r="D197" t="s">
        <v>403</v>
      </c>
      <c r="E197" t="str">
        <f>VLOOKUP(C197, Continent!A:B, 2, FALSE)</f>
        <v>Oceania</v>
      </c>
      <c r="F197" s="14">
        <f>((Table1[[#This Row],[2024 '[YR2024']]]-Table1[[#This Row],[1990 '[YR1990']]])/Table1[[#This Row],[1990 '[YR1990']]])*100</f>
        <v>4.4884653961885661</v>
      </c>
      <c r="G197" s="14">
        <f>((Table1[[#This Row],[2024 '[YR2024']]] / Table1[[#This Row],[1990 '[YR1990']]]) ^ (1 / (2024 - 1990)) - 1) * 100</f>
        <v>0.12922018313294981</v>
      </c>
      <c r="H197">
        <v>99700</v>
      </c>
      <c r="I197">
        <v>102677</v>
      </c>
      <c r="J197">
        <v>106095</v>
      </c>
      <c r="K197">
        <v>105524</v>
      </c>
      <c r="L197">
        <v>105356</v>
      </c>
      <c r="M197">
        <v>105567</v>
      </c>
      <c r="N197">
        <v>105669</v>
      </c>
      <c r="O197">
        <v>105704</v>
      </c>
      <c r="P197">
        <v>105490</v>
      </c>
      <c r="Q197">
        <v>105042</v>
      </c>
      <c r="R197">
        <v>104597</v>
      </c>
      <c r="S197">
        <v>104175</v>
      </c>
    </row>
    <row r="198" spans="1:19" x14ac:dyDescent="0.35">
      <c r="A198" t="s">
        <v>16</v>
      </c>
      <c r="B198" t="s">
        <v>17</v>
      </c>
      <c r="C198" t="s">
        <v>404</v>
      </c>
      <c r="D198" t="s">
        <v>405</v>
      </c>
      <c r="E198" t="str">
        <f>VLOOKUP(C198, Continent!A:B, 2, FALSE)</f>
        <v>North America</v>
      </c>
      <c r="F198" s="14">
        <f>((Table1[[#This Row],[2024 '[YR2024']]]-Table1[[#This Row],[1990 '[YR1990']]])/Table1[[#This Row],[1990 '[YR1990']]])*100</f>
        <v>9.2736190792583972</v>
      </c>
      <c r="G198" s="14">
        <f>((Table1[[#This Row],[2024 '[YR2024']]] / Table1[[#This Row],[1990 '[YR1990']]]) ^ (1 / (2024 - 1990)) - 1) * 100</f>
        <v>0.26117817621704731</v>
      </c>
      <c r="H198">
        <v>1252208</v>
      </c>
      <c r="I198">
        <v>1319774</v>
      </c>
      <c r="J198">
        <v>1349667</v>
      </c>
      <c r="K198">
        <v>1353895</v>
      </c>
      <c r="L198">
        <v>1356633</v>
      </c>
      <c r="M198">
        <v>1359193</v>
      </c>
      <c r="N198">
        <v>1363985</v>
      </c>
      <c r="O198">
        <v>1366725</v>
      </c>
      <c r="P198">
        <v>1367558</v>
      </c>
      <c r="Q198">
        <v>1365805</v>
      </c>
      <c r="R198">
        <v>1367510</v>
      </c>
      <c r="S198">
        <v>1368333</v>
      </c>
    </row>
    <row r="199" spans="1:19" x14ac:dyDescent="0.35">
      <c r="A199" t="s">
        <v>16</v>
      </c>
      <c r="B199" t="s">
        <v>17</v>
      </c>
      <c r="C199" t="s">
        <v>406</v>
      </c>
      <c r="D199" t="s">
        <v>407</v>
      </c>
      <c r="E199" t="str">
        <f>VLOOKUP(C199, Continent!A:B, 2, FALSE)</f>
        <v>Africa</v>
      </c>
      <c r="F199" s="14">
        <f>((Table1[[#This Row],[2024 '[YR2024']]]-Table1[[#This Row],[1990 '[YR1990']]])/Table1[[#This Row],[1990 '[YR1990']]])*100</f>
        <v>47.481479087835694</v>
      </c>
      <c r="G199" s="14">
        <f>((Table1[[#This Row],[2024 '[YR2024']]] / Table1[[#This Row],[1990 '[YR1990']]]) ^ (1 / (2024 - 1990)) - 1) * 100</f>
        <v>1.1492966444043073</v>
      </c>
      <c r="H199">
        <v>8324509</v>
      </c>
      <c r="I199">
        <v>9764935</v>
      </c>
      <c r="J199">
        <v>11402264</v>
      </c>
      <c r="K199">
        <v>11528674</v>
      </c>
      <c r="L199">
        <v>11650498</v>
      </c>
      <c r="M199">
        <v>11765514</v>
      </c>
      <c r="N199">
        <v>11875081</v>
      </c>
      <c r="O199">
        <v>11974057</v>
      </c>
      <c r="P199">
        <v>12048622</v>
      </c>
      <c r="Q199">
        <v>12119334</v>
      </c>
      <c r="R199">
        <v>12200431</v>
      </c>
      <c r="S199">
        <v>12277109</v>
      </c>
    </row>
    <row r="200" spans="1:19" x14ac:dyDescent="0.35">
      <c r="A200" t="s">
        <v>16</v>
      </c>
      <c r="B200" t="s">
        <v>17</v>
      </c>
      <c r="C200" t="s">
        <v>408</v>
      </c>
      <c r="D200" t="s">
        <v>409</v>
      </c>
      <c r="E200" t="str">
        <f>VLOOKUP(C200, Continent!A:B, 2, FALSE)</f>
        <v>Asia</v>
      </c>
      <c r="F200" s="14">
        <f>((Table1[[#This Row],[2024 '[YR2024']]]-Table1[[#This Row],[1990 '[YR1990']]])/Table1[[#This Row],[1990 '[YR1990']]])*100</f>
        <v>52.669289006275179</v>
      </c>
      <c r="G200" s="14">
        <f>((Table1[[#This Row],[2024 '[YR2024']]] / Table1[[#This Row],[1990 '[YR1990']]]) ^ (1 / (2024 - 1990)) - 1) * 100</f>
        <v>1.252198358673251</v>
      </c>
      <c r="H200">
        <v>56015628</v>
      </c>
      <c r="I200">
        <v>65425961</v>
      </c>
      <c r="J200">
        <v>78218479</v>
      </c>
      <c r="K200">
        <v>79277962</v>
      </c>
      <c r="L200">
        <v>80312698</v>
      </c>
      <c r="M200">
        <v>81407204</v>
      </c>
      <c r="N200">
        <v>82579440</v>
      </c>
      <c r="O200">
        <v>83384680</v>
      </c>
      <c r="P200">
        <v>84147318</v>
      </c>
      <c r="Q200">
        <v>84979913</v>
      </c>
      <c r="R200">
        <v>85325965</v>
      </c>
      <c r="S200">
        <v>85518661</v>
      </c>
    </row>
    <row r="201" spans="1:19" x14ac:dyDescent="0.35">
      <c r="A201" t="s">
        <v>16</v>
      </c>
      <c r="B201" t="s">
        <v>17</v>
      </c>
      <c r="C201" t="s">
        <v>410</v>
      </c>
      <c r="D201" t="s">
        <v>411</v>
      </c>
      <c r="E201" t="str">
        <f>VLOOKUP(C201, Continent!A:B, 2, FALSE)</f>
        <v>Asia</v>
      </c>
      <c r="F201" s="14">
        <f>((Table1[[#This Row],[2024 '[YR2024']]]-Table1[[#This Row],[1990 '[YR1990']]])/Table1[[#This Row],[1990 '[YR1990']]])*100</f>
        <v>99.291967530385079</v>
      </c>
      <c r="G201" s="14">
        <f>((Table1[[#This Row],[2024 '[YR2024']]] / Table1[[#This Row],[1990 '[YR1990']]]) ^ (1 / (2024 - 1990)) - 1) * 100</f>
        <v>2.048945966724447</v>
      </c>
      <c r="H201">
        <v>3760562</v>
      </c>
      <c r="I201">
        <v>4582677</v>
      </c>
      <c r="J201">
        <v>6215770</v>
      </c>
      <c r="K201">
        <v>6360041</v>
      </c>
      <c r="L201">
        <v>6507061</v>
      </c>
      <c r="M201">
        <v>6655524</v>
      </c>
      <c r="N201">
        <v>6803944</v>
      </c>
      <c r="O201">
        <v>6949912</v>
      </c>
      <c r="P201">
        <v>7092043</v>
      </c>
      <c r="Q201">
        <v>7230193</v>
      </c>
      <c r="R201">
        <v>7364438</v>
      </c>
      <c r="S201">
        <v>7494498</v>
      </c>
    </row>
    <row r="202" spans="1:19" x14ac:dyDescent="0.35">
      <c r="A202" t="s">
        <v>16</v>
      </c>
      <c r="B202" t="s">
        <v>17</v>
      </c>
      <c r="C202" t="s">
        <v>412</v>
      </c>
      <c r="D202" t="s">
        <v>413</v>
      </c>
      <c r="E202" t="str">
        <f>VLOOKUP(C202, Continent!A:B, 2, FALSE)</f>
        <v>North America</v>
      </c>
      <c r="F202" s="14">
        <f>((Table1[[#This Row],[2024 '[YR2024']]]-Table1[[#This Row],[1990 '[YR1990']]])/Table1[[#This Row],[1990 '[YR1990']]])*100</f>
        <v>298.14339493497607</v>
      </c>
      <c r="G202" s="14">
        <f>((Table1[[#This Row],[2024 '[YR2024']]] / Table1[[#This Row],[1990 '[YR1990']]]) ^ (1 / (2024 - 1990)) - 1) * 100</f>
        <v>4.147349308243431</v>
      </c>
      <c r="H202">
        <v>11688</v>
      </c>
      <c r="I202">
        <v>18730</v>
      </c>
      <c r="J202">
        <v>36605</v>
      </c>
      <c r="K202">
        <v>38315</v>
      </c>
      <c r="L202">
        <v>39913</v>
      </c>
      <c r="M202">
        <v>41559</v>
      </c>
      <c r="N202">
        <v>43166</v>
      </c>
      <c r="O202">
        <v>44386</v>
      </c>
      <c r="P202">
        <v>45243</v>
      </c>
      <c r="Q202">
        <v>45847</v>
      </c>
      <c r="R202">
        <v>46198</v>
      </c>
      <c r="S202">
        <v>46535</v>
      </c>
    </row>
    <row r="203" spans="1:19" x14ac:dyDescent="0.35">
      <c r="A203" t="s">
        <v>16</v>
      </c>
      <c r="B203" t="s">
        <v>17</v>
      </c>
      <c r="C203" t="s">
        <v>414</v>
      </c>
      <c r="D203" t="s">
        <v>415</v>
      </c>
      <c r="E203" t="str">
        <f>VLOOKUP(C203, Continent!A:B, 2, FALSE)</f>
        <v>Oceania</v>
      </c>
      <c r="F203" s="14">
        <f>((Table1[[#This Row],[2024 '[YR2024']]]-Table1[[#This Row],[1990 '[YR1990']]])/Table1[[#This Row],[1990 '[YR1990']]])*100</f>
        <v>9.6385542168674707</v>
      </c>
      <c r="G203" s="14">
        <f>((Table1[[#This Row],[2024 '[YR2024']]] / Table1[[#This Row],[1990 '[YR1990']]]) ^ (1 / (2024 - 1990)) - 1) * 100</f>
        <v>0.27101039077732647</v>
      </c>
      <c r="H203">
        <v>8798</v>
      </c>
      <c r="I203">
        <v>9544</v>
      </c>
      <c r="J203">
        <v>10963</v>
      </c>
      <c r="K203">
        <v>10930</v>
      </c>
      <c r="L203">
        <v>10869</v>
      </c>
      <c r="M203">
        <v>10751</v>
      </c>
      <c r="N203">
        <v>10581</v>
      </c>
      <c r="O203">
        <v>10399</v>
      </c>
      <c r="P203">
        <v>10194</v>
      </c>
      <c r="Q203">
        <v>9992</v>
      </c>
      <c r="R203">
        <v>9816</v>
      </c>
      <c r="S203">
        <v>9646</v>
      </c>
    </row>
    <row r="204" spans="1:19" x14ac:dyDescent="0.35">
      <c r="A204" t="s">
        <v>16</v>
      </c>
      <c r="B204" t="s">
        <v>17</v>
      </c>
      <c r="C204" t="s">
        <v>416</v>
      </c>
      <c r="D204" t="s">
        <v>417</v>
      </c>
      <c r="E204" t="str">
        <f>VLOOKUP(C204, Continent!A:B, 2, FALSE)</f>
        <v>Africa</v>
      </c>
      <c r="F204" s="14">
        <f>((Table1[[#This Row],[2024 '[YR2024']]]-Table1[[#This Row],[1990 '[YR1990']]])/Table1[[#This Row],[1990 '[YR1990']]])*100</f>
        <v>184.663546974692</v>
      </c>
      <c r="G204" s="14">
        <f>((Table1[[#This Row],[2024 '[YR2024']]] / Table1[[#This Row],[1990 '[YR1990']]]) ^ (1 / (2024 - 1990)) - 1) * 100</f>
        <v>3.1247008326778847</v>
      </c>
      <c r="H204">
        <v>17569897</v>
      </c>
      <c r="I204">
        <v>24000150</v>
      </c>
      <c r="J204">
        <v>37531446</v>
      </c>
      <c r="K204">
        <v>38799152</v>
      </c>
      <c r="L204">
        <v>40177388</v>
      </c>
      <c r="M204">
        <v>41565831</v>
      </c>
      <c r="N204">
        <v>42999637</v>
      </c>
      <c r="O204">
        <v>44457152</v>
      </c>
      <c r="P204">
        <v>45910930</v>
      </c>
      <c r="Q204">
        <v>47312719</v>
      </c>
      <c r="R204">
        <v>48656601</v>
      </c>
      <c r="S204">
        <v>50015092</v>
      </c>
    </row>
    <row r="205" spans="1:19" x14ac:dyDescent="0.35">
      <c r="A205" t="s">
        <v>16</v>
      </c>
      <c r="B205" t="s">
        <v>17</v>
      </c>
      <c r="C205" t="s">
        <v>418</v>
      </c>
      <c r="D205" t="s">
        <v>419</v>
      </c>
      <c r="E205" t="str">
        <f>VLOOKUP(C205, Continent!A:B, 2, FALSE)</f>
        <v>Europe</v>
      </c>
      <c r="F205" s="14">
        <f>((Table1[[#This Row],[2024 '[YR2024']]]-Table1[[#This Row],[1990 '[YR1990']]])/Table1[[#This Row],[1990 '[YR1990']]])*100</f>
        <v>-27.26754123383806</v>
      </c>
      <c r="G205" s="14">
        <f>((Table1[[#This Row],[2024 '[YR2024']]] / Table1[[#This Row],[1990 '[YR1990']]]) ^ (1 / (2024 - 1990)) - 1) * 100</f>
        <v>-0.93204815060642376</v>
      </c>
      <c r="H205">
        <v>52054092</v>
      </c>
      <c r="I205">
        <v>49556660</v>
      </c>
      <c r="J205">
        <v>45784896</v>
      </c>
      <c r="K205">
        <v>45616832</v>
      </c>
      <c r="L205">
        <v>45436041</v>
      </c>
      <c r="M205">
        <v>45208907</v>
      </c>
      <c r="N205">
        <v>44957458</v>
      </c>
      <c r="O205">
        <v>44680014</v>
      </c>
      <c r="P205">
        <v>44298640</v>
      </c>
      <c r="Q205">
        <v>41048766</v>
      </c>
      <c r="R205">
        <v>37732836</v>
      </c>
      <c r="S205">
        <v>37860221</v>
      </c>
    </row>
    <row r="206" spans="1:19" x14ac:dyDescent="0.35">
      <c r="A206" t="s">
        <v>16</v>
      </c>
      <c r="B206" t="s">
        <v>17</v>
      </c>
      <c r="C206" t="s">
        <v>420</v>
      </c>
      <c r="D206" t="s">
        <v>421</v>
      </c>
      <c r="E206" t="str">
        <f>VLOOKUP(C206, Continent!A:B, 2, FALSE)</f>
        <v>Asia</v>
      </c>
      <c r="F206" s="14">
        <f>((Table1[[#This Row],[2024 '[YR2024']]]-Table1[[#This Row],[1990 '[YR1990']]])/Table1[[#This Row],[1990 '[YR1990']]])*100</f>
        <v>473.00950364025243</v>
      </c>
      <c r="G206" s="14">
        <f>((Table1[[#This Row],[2024 '[YR2024']]] / Table1[[#This Row],[1990 '[YR1990']]]) ^ (1 / (2024 - 1990)) - 1) * 100</f>
        <v>5.2686072839977172</v>
      </c>
      <c r="H206">
        <v>1898220</v>
      </c>
      <c r="I206">
        <v>3493575</v>
      </c>
      <c r="J206">
        <v>8505237</v>
      </c>
      <c r="K206">
        <v>8935095</v>
      </c>
      <c r="L206">
        <v>9223225</v>
      </c>
      <c r="M206">
        <v>9346701</v>
      </c>
      <c r="N206">
        <v>9445785</v>
      </c>
      <c r="O206">
        <v>9401038</v>
      </c>
      <c r="P206">
        <v>9575152</v>
      </c>
      <c r="Q206">
        <v>10074977</v>
      </c>
      <c r="R206">
        <v>10483751</v>
      </c>
      <c r="S206">
        <v>10876981</v>
      </c>
    </row>
    <row r="207" spans="1:19" x14ac:dyDescent="0.35">
      <c r="A207" t="s">
        <v>16</v>
      </c>
      <c r="B207" t="s">
        <v>17</v>
      </c>
      <c r="C207" t="s">
        <v>422</v>
      </c>
      <c r="D207" t="s">
        <v>423</v>
      </c>
      <c r="E207" t="str">
        <f>VLOOKUP(C207, Continent!A:B, 2, FALSE)</f>
        <v>Europe</v>
      </c>
      <c r="F207" s="14">
        <f>((Table1[[#This Row],[2024 '[YR2024']]]-Table1[[#This Row],[1990 '[YR1990']]])/Table1[[#This Row],[1990 '[YR1990']]])*100</f>
        <v>20.923876161345913</v>
      </c>
      <c r="G207" s="14">
        <f>((Table1[[#This Row],[2024 '[YR2024']]] / Table1[[#This Row],[1990 '[YR1990']]]) ^ (1 / (2024 - 1990)) - 1) * 100</f>
        <v>0.56036135709940371</v>
      </c>
      <c r="H207">
        <v>57247586</v>
      </c>
      <c r="I207">
        <v>58892514</v>
      </c>
      <c r="J207">
        <v>65088000</v>
      </c>
      <c r="K207">
        <v>65607000</v>
      </c>
      <c r="L207">
        <v>65966000</v>
      </c>
      <c r="M207">
        <v>66289000</v>
      </c>
      <c r="N207">
        <v>66631000</v>
      </c>
      <c r="O207">
        <v>66744000</v>
      </c>
      <c r="P207">
        <v>66984000</v>
      </c>
      <c r="Q207">
        <v>67604000</v>
      </c>
      <c r="R207">
        <v>68492000</v>
      </c>
      <c r="S207">
        <v>69226000</v>
      </c>
    </row>
    <row r="208" spans="1:19" x14ac:dyDescent="0.35">
      <c r="A208" t="s">
        <v>16</v>
      </c>
      <c r="B208" t="s">
        <v>17</v>
      </c>
      <c r="C208" t="s">
        <v>424</v>
      </c>
      <c r="D208" t="s">
        <v>425</v>
      </c>
      <c r="E208" t="str">
        <f>VLOOKUP(C208, Continent!A:B, 2, FALSE)</f>
        <v>North America</v>
      </c>
      <c r="F208" s="14">
        <f>((Table1[[#This Row],[2024 '[YR2024']]]-Table1[[#This Row],[1990 '[YR1990']]])/Table1[[#This Row],[1990 '[YR1990']]])*100</f>
        <v>36.2498599888632</v>
      </c>
      <c r="G208" s="14">
        <f>((Table1[[#This Row],[2024 '[YR2024']]] / Table1[[#This Row],[1990 '[YR1990']]]) ^ (1 / (2024 - 1990)) - 1) * 100</f>
        <v>0.91391629617907366</v>
      </c>
      <c r="H208">
        <v>249623000</v>
      </c>
      <c r="I208">
        <v>282162411</v>
      </c>
      <c r="J208">
        <v>321815121</v>
      </c>
      <c r="K208">
        <v>324353340</v>
      </c>
      <c r="L208">
        <v>326608609</v>
      </c>
      <c r="M208">
        <v>328529577</v>
      </c>
      <c r="N208">
        <v>330226227</v>
      </c>
      <c r="O208">
        <v>331577720</v>
      </c>
      <c r="P208">
        <v>332099760</v>
      </c>
      <c r="Q208">
        <v>334017321</v>
      </c>
      <c r="R208">
        <v>336806231</v>
      </c>
      <c r="S208">
        <v>340110988</v>
      </c>
    </row>
    <row r="209" spans="1:19" x14ac:dyDescent="0.35">
      <c r="A209" t="s">
        <v>16</v>
      </c>
      <c r="B209" t="s">
        <v>17</v>
      </c>
      <c r="C209" t="s">
        <v>426</v>
      </c>
      <c r="D209" t="s">
        <v>427</v>
      </c>
      <c r="E209" t="str">
        <f>VLOOKUP(C209, Continent!A:B, 2, FALSE)</f>
        <v>South America</v>
      </c>
      <c r="F209" s="14">
        <f>((Table1[[#This Row],[2024 '[YR2024']]]-Table1[[#This Row],[1990 '[YR1990']]])/Table1[[#This Row],[1990 '[YR1990']]])*100</f>
        <v>9.0898314426316436</v>
      </c>
      <c r="G209" s="14">
        <f>((Table1[[#This Row],[2024 '[YR2024']]] / Table1[[#This Row],[1990 '[YR1990']]]) ^ (1 / (2024 - 1990)) - 1) * 100</f>
        <v>0.25621442988765786</v>
      </c>
      <c r="H209">
        <v>3104403</v>
      </c>
      <c r="I209">
        <v>3266206</v>
      </c>
      <c r="J209">
        <v>3368017</v>
      </c>
      <c r="K209">
        <v>3379283</v>
      </c>
      <c r="L209">
        <v>3388438</v>
      </c>
      <c r="M209">
        <v>3394534</v>
      </c>
      <c r="N209">
        <v>3397206</v>
      </c>
      <c r="O209">
        <v>3398968</v>
      </c>
      <c r="P209">
        <v>3396695</v>
      </c>
      <c r="Q209">
        <v>3390913</v>
      </c>
      <c r="R209">
        <v>3388081</v>
      </c>
      <c r="S209">
        <v>3386588</v>
      </c>
    </row>
    <row r="210" spans="1:19" x14ac:dyDescent="0.35">
      <c r="A210" t="s">
        <v>16</v>
      </c>
      <c r="B210" t="s">
        <v>17</v>
      </c>
      <c r="C210" t="s">
        <v>428</v>
      </c>
      <c r="D210" t="s">
        <v>429</v>
      </c>
      <c r="E210" t="str">
        <f>VLOOKUP(C210, Continent!A:B, 2, FALSE)</f>
        <v>Asia</v>
      </c>
      <c r="F210" s="14">
        <f>((Table1[[#This Row],[2024 '[YR2024']]]-Table1[[#This Row],[1990 '[YR1990']]])/Table1[[#This Row],[1990 '[YR1990']]])*100</f>
        <v>77.678657115119137</v>
      </c>
      <c r="G210" s="14">
        <f>((Table1[[#This Row],[2024 '[YR2024']]] / Table1[[#This Row],[1990 '[YR1990']]]) ^ (1 / (2024 - 1990)) - 1) * 100</f>
        <v>1.7049788017756917</v>
      </c>
      <c r="H210">
        <v>20464956</v>
      </c>
      <c r="I210">
        <v>24787054</v>
      </c>
      <c r="J210">
        <v>30749346</v>
      </c>
      <c r="K210">
        <v>31284568</v>
      </c>
      <c r="L210">
        <v>31819178</v>
      </c>
      <c r="M210">
        <v>32373490</v>
      </c>
      <c r="N210">
        <v>32964701</v>
      </c>
      <c r="O210">
        <v>33586372</v>
      </c>
      <c r="P210">
        <v>34243696</v>
      </c>
      <c r="Q210">
        <v>34938955</v>
      </c>
      <c r="R210">
        <v>35652307</v>
      </c>
      <c r="S210">
        <v>36361859</v>
      </c>
    </row>
    <row r="211" spans="1:19" x14ac:dyDescent="0.35">
      <c r="A211" t="s">
        <v>16</v>
      </c>
      <c r="B211" t="s">
        <v>17</v>
      </c>
      <c r="C211" t="s">
        <v>430</v>
      </c>
      <c r="D211" t="s">
        <v>431</v>
      </c>
      <c r="E211" t="str">
        <f>VLOOKUP(C211, Continent!A:B, 2, FALSE)</f>
        <v>Oceania</v>
      </c>
      <c r="F211" s="14">
        <f>((Table1[[#This Row],[2024 '[YR2024']]]-Table1[[#This Row],[1990 '[YR1990']]])/Table1[[#This Row],[1990 '[YR1990']]])*100</f>
        <v>121.37671126479945</v>
      </c>
      <c r="G211" s="14">
        <f>((Table1[[#This Row],[2024 '[YR2024']]] / Table1[[#This Row],[1990 '[YR1990']]]) ^ (1 / (2024 - 1990)) - 1) * 100</f>
        <v>2.3648699829498021</v>
      </c>
      <c r="H211">
        <v>148063</v>
      </c>
      <c r="I211">
        <v>186281</v>
      </c>
      <c r="J211">
        <v>266101</v>
      </c>
      <c r="K211">
        <v>272087</v>
      </c>
      <c r="L211">
        <v>278507</v>
      </c>
      <c r="M211">
        <v>285259</v>
      </c>
      <c r="N211">
        <v>291985</v>
      </c>
      <c r="O211">
        <v>298858</v>
      </c>
      <c r="P211">
        <v>305868</v>
      </c>
      <c r="Q211">
        <v>313046</v>
      </c>
      <c r="R211">
        <v>320409</v>
      </c>
      <c r="S211">
        <v>327777</v>
      </c>
    </row>
    <row r="212" spans="1:19" x14ac:dyDescent="0.35">
      <c r="A212" t="s">
        <v>16</v>
      </c>
      <c r="B212" t="s">
        <v>17</v>
      </c>
      <c r="C212" t="s">
        <v>559</v>
      </c>
      <c r="D212" t="s">
        <v>432</v>
      </c>
      <c r="E212" t="str">
        <f>VLOOKUP(C212, Continent!A:B, 2, FALSE)</f>
        <v>South America</v>
      </c>
      <c r="F212" s="14">
        <f>((Table1[[#This Row],[2024 '[YR2024']]]-Table1[[#This Row],[1990 '[YR1990']]])/Table1[[#This Row],[1990 '[YR1990']]])*100</f>
        <v>43.266902069449706</v>
      </c>
      <c r="G212" s="14">
        <f>((Table1[[#This Row],[2024 '[YR2024']]] / Table1[[#This Row],[1990 '[YR1990']]]) ^ (1 / (2024 - 1990)) - 1) * 100</f>
        <v>1.063079050506599</v>
      </c>
      <c r="H212">
        <v>19827010</v>
      </c>
      <c r="I212">
        <v>24526708</v>
      </c>
      <c r="J212">
        <v>30573972</v>
      </c>
      <c r="K212">
        <v>30765720</v>
      </c>
      <c r="L212">
        <v>30565323</v>
      </c>
      <c r="M212">
        <v>29807592</v>
      </c>
      <c r="N212">
        <v>28938098</v>
      </c>
      <c r="O212">
        <v>28444077</v>
      </c>
      <c r="P212">
        <v>28237826</v>
      </c>
      <c r="Q212">
        <v>28213017</v>
      </c>
      <c r="R212">
        <v>28300854</v>
      </c>
      <c r="S212">
        <v>28405543</v>
      </c>
    </row>
    <row r="213" spans="1:19" x14ac:dyDescent="0.35">
      <c r="A213" t="s">
        <v>16</v>
      </c>
      <c r="B213" t="s">
        <v>17</v>
      </c>
      <c r="C213" t="s">
        <v>433</v>
      </c>
      <c r="D213" t="s">
        <v>434</v>
      </c>
      <c r="E213" t="str">
        <f>VLOOKUP(C213, Continent!A:B, 2, FALSE)</f>
        <v>Asia</v>
      </c>
      <c r="F213" s="14">
        <f>((Table1[[#This Row],[2024 '[YR2024']]]-Table1[[#This Row],[1990 '[YR1990']]])/Table1[[#This Row],[1990 '[YR1990']]])*100</f>
        <v>54.168959128214475</v>
      </c>
      <c r="G213" s="14">
        <f>((Table1[[#This Row],[2024 '[YR2024']]] / Table1[[#This Row],[1990 '[YR1990']]]) ^ (1 / (2024 - 1990)) - 1) * 100</f>
        <v>1.2813127472681929</v>
      </c>
      <c r="H213">
        <v>65504552</v>
      </c>
      <c r="I213">
        <v>77154011</v>
      </c>
      <c r="J213">
        <v>92823254</v>
      </c>
      <c r="K213">
        <v>94000117</v>
      </c>
      <c r="L213">
        <v>95176977</v>
      </c>
      <c r="M213">
        <v>96237319</v>
      </c>
      <c r="N213">
        <v>97173776</v>
      </c>
      <c r="O213">
        <v>98079191</v>
      </c>
      <c r="P213">
        <v>98935098</v>
      </c>
      <c r="Q213">
        <v>99680655</v>
      </c>
      <c r="R213">
        <v>100352192</v>
      </c>
      <c r="S213">
        <v>100987686</v>
      </c>
    </row>
    <row r="214" spans="1:19" x14ac:dyDescent="0.35">
      <c r="A214" t="s">
        <v>16</v>
      </c>
      <c r="B214" t="s">
        <v>17</v>
      </c>
      <c r="C214" t="s">
        <v>435</v>
      </c>
      <c r="D214" t="s">
        <v>436</v>
      </c>
      <c r="E214" t="str">
        <f>VLOOKUP(C214, Continent!A:B, 2, FALSE)</f>
        <v>North America</v>
      </c>
      <c r="F214" s="14">
        <f>((Table1[[#This Row],[2024 '[YR2024']]]-Table1[[#This Row],[1990 '[YR1990']]])/Table1[[#This Row],[1990 '[YR1990']]])*100</f>
        <v>0.39821859700085604</v>
      </c>
      <c r="G214" s="14">
        <f>((Table1[[#This Row],[2024 '[YR2024']]] / Table1[[#This Row],[1990 '[YR1990']]]) ^ (1 / (2024 - 1990)) - 1) * 100</f>
        <v>1.1689736297504361E-2</v>
      </c>
      <c r="H214">
        <v>103963</v>
      </c>
      <c r="I214">
        <v>108642</v>
      </c>
      <c r="J214">
        <v>107712</v>
      </c>
      <c r="K214">
        <v>107516</v>
      </c>
      <c r="L214">
        <v>107281</v>
      </c>
      <c r="M214">
        <v>107001</v>
      </c>
      <c r="N214">
        <v>106669</v>
      </c>
      <c r="O214">
        <v>106290</v>
      </c>
      <c r="P214">
        <v>105870</v>
      </c>
      <c r="Q214">
        <v>105413</v>
      </c>
      <c r="R214">
        <v>104917</v>
      </c>
      <c r="S214">
        <v>104377</v>
      </c>
    </row>
    <row r="215" spans="1:19" x14ac:dyDescent="0.35">
      <c r="A215" t="s">
        <v>16</v>
      </c>
      <c r="B215" t="s">
        <v>17</v>
      </c>
      <c r="C215" t="s">
        <v>437</v>
      </c>
      <c r="D215" t="s">
        <v>438</v>
      </c>
      <c r="E215" t="str">
        <f>VLOOKUP(C215, Continent!A:B, 2, FALSE)</f>
        <v>Asia</v>
      </c>
      <c r="F215" s="14">
        <f>((Table1[[#This Row],[2024 '[YR2024']]]-Table1[[#This Row],[1990 '[YR1990']]])/Table1[[#This Row],[1990 '[YR1990']]])*100</f>
        <v>167.3654668171028</v>
      </c>
      <c r="G215" s="14">
        <f>((Table1[[#This Row],[2024 '[YR2024']]] / Table1[[#This Row],[1990 '[YR1990']]]) ^ (1 / (2024 - 1990)) - 1) * 100</f>
        <v>2.9347279297206708</v>
      </c>
      <c r="H215">
        <v>1978248</v>
      </c>
      <c r="I215">
        <v>2922153</v>
      </c>
      <c r="J215">
        <v>4270092</v>
      </c>
      <c r="K215">
        <v>4367088</v>
      </c>
      <c r="L215">
        <v>4454805</v>
      </c>
      <c r="M215">
        <v>4569087</v>
      </c>
      <c r="N215">
        <v>4685306</v>
      </c>
      <c r="O215">
        <v>4803269</v>
      </c>
      <c r="P215">
        <v>4922749</v>
      </c>
      <c r="Q215">
        <v>5043612</v>
      </c>
      <c r="R215">
        <v>5165775</v>
      </c>
      <c r="S215">
        <v>5289152</v>
      </c>
    </row>
    <row r="216" spans="1:19" x14ac:dyDescent="0.35">
      <c r="A216" t="s">
        <v>16</v>
      </c>
      <c r="B216" t="s">
        <v>17</v>
      </c>
      <c r="C216" t="s">
        <v>439</v>
      </c>
      <c r="D216" t="s">
        <v>440</v>
      </c>
      <c r="E216" t="str">
        <f>VLOOKUP(C216, Continent!A:B, 2, FALSE)</f>
        <v>Asia</v>
      </c>
      <c r="F216" s="14">
        <f>((Table1[[#This Row],[2024 '[YR2024']]]-Table1[[#This Row],[1990 '[YR1990']]])/Table1[[#This Row],[1990 '[YR1990']]])*100</f>
        <v>192.22038640648935</v>
      </c>
      <c r="G216" s="14">
        <f>((Table1[[#This Row],[2024 '[YR2024']]] / Table1[[#This Row],[1990 '[YR1990']]]) ^ (1 / (2024 - 1990)) - 1) * 100</f>
        <v>3.2041991099430289</v>
      </c>
      <c r="H216">
        <v>13887862</v>
      </c>
      <c r="I216">
        <v>19624141</v>
      </c>
      <c r="J216">
        <v>31159379</v>
      </c>
      <c r="K216">
        <v>32109010</v>
      </c>
      <c r="L216">
        <v>33090921</v>
      </c>
      <c r="M216">
        <v>34085182</v>
      </c>
      <c r="N216">
        <v>35111408</v>
      </c>
      <c r="O216">
        <v>36134863</v>
      </c>
      <c r="P216">
        <v>37140230</v>
      </c>
      <c r="Q216">
        <v>38222876</v>
      </c>
      <c r="R216">
        <v>39390799</v>
      </c>
      <c r="S216">
        <v>40583164</v>
      </c>
    </row>
    <row r="217" spans="1:19" x14ac:dyDescent="0.35">
      <c r="A217" t="s">
        <v>16</v>
      </c>
      <c r="B217" t="s">
        <v>17</v>
      </c>
      <c r="C217" t="s">
        <v>441</v>
      </c>
      <c r="D217" t="s">
        <v>442</v>
      </c>
      <c r="E217" t="str">
        <f>VLOOKUP(C217, Continent!A:B, 2, FALSE)</f>
        <v>Africa</v>
      </c>
      <c r="F217" s="14">
        <f>((Table1[[#This Row],[2024 '[YR2024']]]-Table1[[#This Row],[1990 '[YR1990']]])/Table1[[#This Row],[1990 '[YR1990']]])*100</f>
        <v>173.75408882083087</v>
      </c>
      <c r="G217" s="14">
        <f>((Table1[[#This Row],[2024 '[YR2024']]] / Table1[[#This Row],[1990 '[YR1990']]]) ^ (1 / (2024 - 1990)) - 1) * 100</f>
        <v>3.0062430650922733</v>
      </c>
      <c r="H217">
        <v>7786169</v>
      </c>
      <c r="I217">
        <v>10017631</v>
      </c>
      <c r="J217">
        <v>16399089</v>
      </c>
      <c r="K217">
        <v>16914423</v>
      </c>
      <c r="L217">
        <v>17441320</v>
      </c>
      <c r="M217">
        <v>17973569</v>
      </c>
      <c r="N217">
        <v>18513839</v>
      </c>
      <c r="O217">
        <v>19059395</v>
      </c>
      <c r="P217">
        <v>19603607</v>
      </c>
      <c r="Q217">
        <v>20152938</v>
      </c>
      <c r="R217">
        <v>20723965</v>
      </c>
      <c r="S217">
        <v>21314956</v>
      </c>
    </row>
    <row r="218" spans="1:19" x14ac:dyDescent="0.35">
      <c r="A218" t="s">
        <v>16</v>
      </c>
      <c r="B218" t="s">
        <v>17</v>
      </c>
      <c r="C218" t="s">
        <v>443</v>
      </c>
      <c r="D218" t="s">
        <v>444</v>
      </c>
      <c r="E218" t="str">
        <f>VLOOKUP(C218, Continent!A:B, 2, FALSE)</f>
        <v>Africa</v>
      </c>
      <c r="F218" s="14">
        <f>((Table1[[#This Row],[2024 '[YR2024']]]-Table1[[#This Row],[1990 '[YR1990']]])/Table1[[#This Row],[1990 '[YR1990']]])*100</f>
        <v>64.091071363218603</v>
      </c>
      <c r="G218" s="14">
        <f>((Table1[[#This Row],[2024 '[YR2024']]] / Table1[[#This Row],[1990 '[YR1990']]]) ^ (1 / (2024 - 1990)) - 1) * 100</f>
        <v>1.4672822000470376</v>
      </c>
      <c r="H218">
        <v>10137281</v>
      </c>
      <c r="I218">
        <v>11892055</v>
      </c>
      <c r="J218">
        <v>14399013</v>
      </c>
      <c r="K218">
        <v>14600294</v>
      </c>
      <c r="L218">
        <v>14812482</v>
      </c>
      <c r="M218">
        <v>15034452</v>
      </c>
      <c r="N218">
        <v>15271368</v>
      </c>
      <c r="O218">
        <v>15526888</v>
      </c>
      <c r="P218">
        <v>15797210</v>
      </c>
      <c r="Q218">
        <v>16069056</v>
      </c>
      <c r="R218">
        <v>16340822</v>
      </c>
      <c r="S218">
        <v>16634373</v>
      </c>
    </row>
    <row r="271" spans="1:1" x14ac:dyDescent="0.35">
      <c r="A271" t="s">
        <v>544</v>
      </c>
    </row>
    <row r="272" spans="1:1" x14ac:dyDescent="0.35">
      <c r="A272" t="s">
        <v>545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50"/>
  <sheetViews>
    <sheetView workbookViewId="0">
      <selection sqref="A1:S1"/>
    </sheetView>
  </sheetViews>
  <sheetFormatPr defaultRowHeight="14.5" x14ac:dyDescent="0.35"/>
  <sheetData>
    <row r="1" spans="1:19" ht="15" thickBot="1" x14ac:dyDescent="0.4">
      <c r="A1" s="20" t="s">
        <v>0</v>
      </c>
      <c r="B1" s="21" t="s">
        <v>1</v>
      </c>
      <c r="C1" s="21" t="s">
        <v>2</v>
      </c>
      <c r="D1" s="21" t="s">
        <v>3</v>
      </c>
      <c r="E1" s="21" t="s">
        <v>560</v>
      </c>
      <c r="F1" s="22" t="s">
        <v>561</v>
      </c>
      <c r="G1" s="22" t="s">
        <v>562</v>
      </c>
      <c r="H1" s="21" t="s">
        <v>4</v>
      </c>
      <c r="I1" s="21" t="s">
        <v>5</v>
      </c>
      <c r="J1" s="21" t="s">
        <v>6</v>
      </c>
      <c r="K1" s="21" t="s">
        <v>7</v>
      </c>
      <c r="L1" s="21" t="s">
        <v>8</v>
      </c>
      <c r="M1" s="21" t="s">
        <v>9</v>
      </c>
      <c r="N1" s="21" t="s">
        <v>10</v>
      </c>
      <c r="O1" s="21" t="s">
        <v>11</v>
      </c>
      <c r="P1" s="21" t="s">
        <v>12</v>
      </c>
      <c r="Q1" s="21" t="s">
        <v>13</v>
      </c>
      <c r="R1" s="21" t="s">
        <v>14</v>
      </c>
      <c r="S1" s="23" t="s">
        <v>15</v>
      </c>
    </row>
    <row r="2" spans="1:19" ht="15" thickTop="1" x14ac:dyDescent="0.35">
      <c r="A2" s="4" t="s">
        <v>16</v>
      </c>
      <c r="B2" s="5" t="s">
        <v>17</v>
      </c>
      <c r="C2" s="5" t="s">
        <v>445</v>
      </c>
      <c r="D2" s="5" t="s">
        <v>446</v>
      </c>
      <c r="E2" s="5" t="e">
        <f>VLOOKUP(C2, Continent!A:B, 2, FALSE)</f>
        <v>#N/A</v>
      </c>
      <c r="F2" s="17">
        <f>((Table1[[#This Row],[2024 '[YR2024']]]-Table1[[#This Row],[1990 '[YR1990']]])/Table1[[#This Row],[1990 '[YR1990']]])*100</f>
        <v>254.04861169915139</v>
      </c>
      <c r="G2" s="17">
        <f>((Table1[[#This Row],[2024 '[YR2024']]] / Table1[[#This Row],[1990 '[YR1990']]]) ^ (1 / (2024 - 1990)) - 1) * 100</f>
        <v>3.7884219316682621</v>
      </c>
      <c r="H2" s="5">
        <v>311748681</v>
      </c>
      <c r="I2" s="5">
        <v>406156661</v>
      </c>
      <c r="J2" s="5">
        <v>607123269</v>
      </c>
      <c r="K2" s="5">
        <v>623369401</v>
      </c>
      <c r="L2" s="5">
        <v>640058741</v>
      </c>
      <c r="M2" s="5">
        <v>657801085</v>
      </c>
      <c r="N2" s="5">
        <v>675950189</v>
      </c>
      <c r="O2" s="5">
        <v>694446100</v>
      </c>
      <c r="P2" s="5">
        <v>713090928</v>
      </c>
      <c r="Q2" s="5">
        <v>731821393</v>
      </c>
      <c r="R2" s="5">
        <v>750503764</v>
      </c>
      <c r="S2" s="7">
        <v>769294618</v>
      </c>
    </row>
    <row r="3" spans="1:19" x14ac:dyDescent="0.35">
      <c r="A3" s="2" t="s">
        <v>16</v>
      </c>
      <c r="B3" s="3" t="s">
        <v>17</v>
      </c>
      <c r="C3" s="3" t="s">
        <v>447</v>
      </c>
      <c r="D3" s="3" t="s">
        <v>448</v>
      </c>
      <c r="E3" s="3" t="e">
        <f>VLOOKUP(C3, Continent!A:B, 2, FALSE)</f>
        <v>#N/A</v>
      </c>
      <c r="F3" s="18">
        <f>((Table1[[#This Row],[2024 '[YR2024']]]-Table1[[#This Row],[1990 '[YR1990']]])/Table1[[#This Row],[1990 '[YR1990']]])*100</f>
        <v>-17.402029245328375</v>
      </c>
      <c r="G3" s="18">
        <f>((Table1[[#This Row],[2024 '[YR2024']]] / Table1[[#This Row],[1990 '[YR1990']]]) ^ (1 / (2024 - 1990)) - 1) * 100</f>
        <v>-0.56073103979109584</v>
      </c>
      <c r="H3" s="3">
        <v>209566031</v>
      </c>
      <c r="I3" s="3">
        <v>274968446</v>
      </c>
      <c r="J3" s="3">
        <v>418127845</v>
      </c>
      <c r="K3" s="3">
        <v>429454743</v>
      </c>
      <c r="L3" s="3">
        <v>440882906</v>
      </c>
      <c r="M3" s="3">
        <v>452195915</v>
      </c>
      <c r="N3" s="3">
        <v>463365429</v>
      </c>
      <c r="O3" s="3">
        <v>474569351</v>
      </c>
      <c r="P3" s="3">
        <v>485920997</v>
      </c>
      <c r="Q3" s="3">
        <v>497387180</v>
      </c>
      <c r="R3" s="3">
        <v>509398589</v>
      </c>
      <c r="S3" s="6">
        <v>521764076</v>
      </c>
    </row>
    <row r="4" spans="1:19" x14ac:dyDescent="0.35">
      <c r="A4" s="4" t="s">
        <v>16</v>
      </c>
      <c r="B4" s="5" t="s">
        <v>17</v>
      </c>
      <c r="C4" s="5" t="s">
        <v>449</v>
      </c>
      <c r="D4" s="5" t="s">
        <v>450</v>
      </c>
      <c r="E4" s="5" t="e">
        <f>VLOOKUP(C4, Continent!A:B, 2, FALSE)</f>
        <v>#N/A</v>
      </c>
      <c r="F4" s="17">
        <f>((Table1[[#This Row],[2024 '[YR2024']]]-Table1[[#This Row],[1990 '[YR1990']]])/Table1[[#This Row],[1990 '[YR1990']]])*100</f>
        <v>84.483994796619299</v>
      </c>
      <c r="G4" s="17">
        <f>((Table1[[#This Row],[2024 '[YR2024']]] / Table1[[#This Row],[1990 '[YR1990']]]) ^ (1 / (2024 - 1990)) - 1) * 100</f>
        <v>1.81747309892899</v>
      </c>
      <c r="H4" s="5">
        <v>223184294</v>
      </c>
      <c r="I4" s="5">
        <v>286548096</v>
      </c>
      <c r="J4" s="5">
        <v>410190679</v>
      </c>
      <c r="K4" s="5">
        <v>419808341</v>
      </c>
      <c r="L4" s="5">
        <v>428315886</v>
      </c>
      <c r="M4" s="5">
        <v>435998060</v>
      </c>
      <c r="N4" s="5">
        <v>444281315</v>
      </c>
      <c r="O4" s="5">
        <v>453723239</v>
      </c>
      <c r="P4" s="5">
        <v>460646603</v>
      </c>
      <c r="Q4" s="5">
        <v>471352066</v>
      </c>
      <c r="R4" s="5">
        <v>482105978</v>
      </c>
      <c r="S4" s="7">
        <v>492579811</v>
      </c>
    </row>
    <row r="5" spans="1:19" x14ac:dyDescent="0.35">
      <c r="A5" s="2" t="s">
        <v>16</v>
      </c>
      <c r="B5" s="3" t="s">
        <v>17</v>
      </c>
      <c r="C5" s="3" t="s">
        <v>451</v>
      </c>
      <c r="D5" s="3" t="s">
        <v>452</v>
      </c>
      <c r="E5" s="3" t="e">
        <f>VLOOKUP(C5, Continent!A:B, 2, FALSE)</f>
        <v>#N/A</v>
      </c>
      <c r="F5" s="18">
        <f>((Table1[[#This Row],[2024 '[YR2024']]]-Table1[[#This Row],[1990 '[YR1990']]])/Table1[[#This Row],[1990 '[YR1990']]])*100</f>
        <v>0.26801029159519724</v>
      </c>
      <c r="G5" s="18">
        <f>((Table1[[#This Row],[2024 '[YR2024']]] / Table1[[#This Row],[1990 '[YR1990']]]) ^ (1 / (2024 - 1990)) - 1) * 100</f>
        <v>7.8724211655112342E-3</v>
      </c>
      <c r="H5" s="3">
        <v>3654949</v>
      </c>
      <c r="I5" s="3">
        <v>3956229</v>
      </c>
      <c r="J5" s="3">
        <v>4314191</v>
      </c>
      <c r="K5" s="3">
        <v>4341333</v>
      </c>
      <c r="L5" s="3">
        <v>4366140</v>
      </c>
      <c r="M5" s="3">
        <v>4407658</v>
      </c>
      <c r="N5" s="3">
        <v>4443134</v>
      </c>
      <c r="O5" s="3">
        <v>4459302</v>
      </c>
      <c r="P5" s="3">
        <v>4479167</v>
      </c>
      <c r="Q5" s="3">
        <v>4497310</v>
      </c>
      <c r="R5" s="3">
        <v>4519904</v>
      </c>
      <c r="S5" s="6">
        <v>4539060</v>
      </c>
    </row>
    <row r="6" spans="1:19" x14ac:dyDescent="0.35">
      <c r="A6" s="4" t="s">
        <v>16</v>
      </c>
      <c r="B6" s="5" t="s">
        <v>17</v>
      </c>
      <c r="C6" s="5" t="s">
        <v>453</v>
      </c>
      <c r="D6" s="5" t="s">
        <v>454</v>
      </c>
      <c r="E6" s="5" t="e">
        <f>VLOOKUP(C6, Continent!A:B, 2, FALSE)</f>
        <v>#N/A</v>
      </c>
      <c r="F6" s="17">
        <f>((Table1[[#This Row],[2024 '[YR2024']]]-Table1[[#This Row],[1990 '[YR1990']]])/Table1[[#This Row],[1990 '[YR1990']]])*100</f>
        <v>55.784550449645423</v>
      </c>
      <c r="G6" s="17">
        <f>((Table1[[#This Row],[2024 '[YR2024']]] / Table1[[#This Row],[1990 '[YR1990']]]) ^ (1 / (2024 - 1990)) - 1) * 100</f>
        <v>1.312371632839282</v>
      </c>
      <c r="H6" s="5">
        <v>110743128</v>
      </c>
      <c r="I6" s="5">
        <v>108447824</v>
      </c>
      <c r="J6" s="5">
        <v>102973167</v>
      </c>
      <c r="K6" s="5">
        <v>102647939</v>
      </c>
      <c r="L6" s="5">
        <v>102337501</v>
      </c>
      <c r="M6" s="5">
        <v>102074201</v>
      </c>
      <c r="N6" s="5">
        <v>101864274</v>
      </c>
      <c r="O6" s="5">
        <v>101215763</v>
      </c>
      <c r="P6" s="5">
        <v>100205732</v>
      </c>
      <c r="Q6" s="5">
        <v>100071871</v>
      </c>
      <c r="R6" s="5">
        <v>100175859</v>
      </c>
      <c r="S6" s="7">
        <v>100050066</v>
      </c>
    </row>
    <row r="7" spans="1:19" x14ac:dyDescent="0.35">
      <c r="A7" s="2" t="s">
        <v>16</v>
      </c>
      <c r="B7" s="3" t="s">
        <v>17</v>
      </c>
      <c r="C7" s="3" t="s">
        <v>455</v>
      </c>
      <c r="D7" s="3" t="s">
        <v>456</v>
      </c>
      <c r="E7" s="3" t="e">
        <f>VLOOKUP(C7, Continent!A:B, 2, FALSE)</f>
        <v>#N/A</v>
      </c>
      <c r="F7" s="18">
        <f>((Table1[[#This Row],[2024 '[YR2024']]]-Table1[[#This Row],[1990 '[YR1990']]])/Table1[[#This Row],[1990 '[YR1990']]])*100</f>
        <v>225.86165403445273</v>
      </c>
      <c r="G7" s="18">
        <f>((Table1[[#This Row],[2024 '[YR2024']]] / Table1[[#This Row],[1990 '[YR1990']]]) ^ (1 / (2024 - 1990)) - 1) * 100</f>
        <v>3.5354829061696291</v>
      </c>
      <c r="H7" s="3">
        <v>2044241467</v>
      </c>
      <c r="I7" s="3">
        <v>2509431470</v>
      </c>
      <c r="J7" s="3">
        <v>3190318707</v>
      </c>
      <c r="K7" s="3">
        <v>3233033717</v>
      </c>
      <c r="L7" s="3">
        <v>3274060446</v>
      </c>
      <c r="M7" s="3">
        <v>3314245247</v>
      </c>
      <c r="N7" s="3">
        <v>3355014793</v>
      </c>
      <c r="O7" s="3">
        <v>3396051187</v>
      </c>
      <c r="P7" s="3">
        <v>3432026092</v>
      </c>
      <c r="Q7" s="3">
        <v>3470644834</v>
      </c>
      <c r="R7" s="3">
        <v>3511607650</v>
      </c>
      <c r="S7" s="6">
        <v>3552278604</v>
      </c>
    </row>
    <row r="8" spans="1:19" x14ac:dyDescent="0.35">
      <c r="A8" s="4" t="s">
        <v>16</v>
      </c>
      <c r="B8" s="5" t="s">
        <v>17</v>
      </c>
      <c r="C8" s="5" t="s">
        <v>457</v>
      </c>
      <c r="D8" s="5" t="s">
        <v>458</v>
      </c>
      <c r="E8" s="5" t="e">
        <f>VLOOKUP(C8, Continent!A:B, 2, FALSE)</f>
        <v>#N/A</v>
      </c>
      <c r="F8" s="17">
        <f>((Table1[[#This Row],[2024 '[YR2024']]]-Table1[[#This Row],[1990 '[YR1990']]])/Table1[[#This Row],[1990 '[YR1990']]])*100</f>
        <v>48.688675355976279</v>
      </c>
      <c r="G8" s="17">
        <f>((Table1[[#This Row],[2024 '[YR2024']]] / Table1[[#This Row],[1990 '[YR1990']]]) ^ (1 / (2024 - 1990)) - 1) * 100</f>
        <v>1.1735518527364652</v>
      </c>
      <c r="H8" s="5">
        <v>1817735909</v>
      </c>
      <c r="I8" s="5">
        <v>2050149617</v>
      </c>
      <c r="J8" s="5">
        <v>2300844269</v>
      </c>
      <c r="K8" s="5">
        <v>2317076058</v>
      </c>
      <c r="L8" s="5">
        <v>2333475520</v>
      </c>
      <c r="M8" s="5">
        <v>2347576325</v>
      </c>
      <c r="N8" s="5">
        <v>2359771090</v>
      </c>
      <c r="O8" s="5">
        <v>2369438682</v>
      </c>
      <c r="P8" s="5">
        <v>2375144416</v>
      </c>
      <c r="Q8" s="5">
        <v>2379648196</v>
      </c>
      <c r="R8" s="5">
        <v>2384479340</v>
      </c>
      <c r="S8" s="7">
        <v>2388378491</v>
      </c>
    </row>
    <row r="9" spans="1:19" x14ac:dyDescent="0.35">
      <c r="A9" s="2" t="s">
        <v>16</v>
      </c>
      <c r="B9" s="3" t="s">
        <v>17</v>
      </c>
      <c r="C9" s="3" t="s">
        <v>459</v>
      </c>
      <c r="D9" s="3" t="s">
        <v>460</v>
      </c>
      <c r="E9" s="3" t="e">
        <f>VLOOKUP(C9, Continent!A:B, 2, FALSE)</f>
        <v>#N/A</v>
      </c>
      <c r="F9" s="18">
        <f>((Table1[[#This Row],[2024 '[YR2024']]]-Table1[[#This Row],[1990 '[YR1990']]])/Table1[[#This Row],[1990 '[YR1990']]])*100</f>
        <v>39.505120008758112</v>
      </c>
      <c r="G9" s="18">
        <f>((Table1[[#This Row],[2024 '[YR2024']]] / Table1[[#This Row],[1990 '[YR1990']]]) ^ (1 / (2024 - 1990)) - 1) * 100</f>
        <v>0.98401910809804427</v>
      </c>
      <c r="H9" s="3">
        <v>1600739173</v>
      </c>
      <c r="I9" s="3">
        <v>1819011507</v>
      </c>
      <c r="J9" s="3">
        <v>2056050896</v>
      </c>
      <c r="K9" s="3">
        <v>2071486140</v>
      </c>
      <c r="L9" s="3">
        <v>2087238522</v>
      </c>
      <c r="M9" s="3">
        <v>2100698838</v>
      </c>
      <c r="N9" s="3">
        <v>2112289891</v>
      </c>
      <c r="O9" s="3">
        <v>2121866294</v>
      </c>
      <c r="P9" s="3">
        <v>2128553744</v>
      </c>
      <c r="Q9" s="3">
        <v>2133560408</v>
      </c>
      <c r="R9" s="3">
        <v>2137527754</v>
      </c>
      <c r="S9" s="6">
        <v>2141122258</v>
      </c>
    </row>
    <row r="10" spans="1:19" x14ac:dyDescent="0.35">
      <c r="A10" s="4" t="s">
        <v>16</v>
      </c>
      <c r="B10" s="5" t="s">
        <v>17</v>
      </c>
      <c r="C10" s="5" t="s">
        <v>461</v>
      </c>
      <c r="D10" s="5" t="s">
        <v>462</v>
      </c>
      <c r="E10" s="5" t="e">
        <f>VLOOKUP(C10, Continent!A:B, 2, FALSE)</f>
        <v>#N/A</v>
      </c>
      <c r="F10" s="17">
        <f>((Table1[[#This Row],[2024 '[YR2024']]]-Table1[[#This Row],[1990 '[YR1990']]])/Table1[[#This Row],[1990 '[YR1990']]])*100</f>
        <v>-14.60048736982451</v>
      </c>
      <c r="G10" s="17">
        <f>((Table1[[#This Row],[2024 '[YR2024']]] / Table1[[#This Row],[1990 '[YR1990']]]) ^ (1 / (2024 - 1990)) - 1) * 100</f>
        <v>-0.46312950349640669</v>
      </c>
      <c r="H10" s="5">
        <v>1579651917</v>
      </c>
      <c r="I10" s="5">
        <v>1795374943</v>
      </c>
      <c r="J10" s="5">
        <v>2030504270</v>
      </c>
      <c r="K10" s="5">
        <v>2045816761</v>
      </c>
      <c r="L10" s="5">
        <v>2061449949</v>
      </c>
      <c r="M10" s="5">
        <v>2074796982</v>
      </c>
      <c r="N10" s="5">
        <v>2086281644</v>
      </c>
      <c r="O10" s="5">
        <v>2095759417</v>
      </c>
      <c r="P10" s="5">
        <v>2102350702</v>
      </c>
      <c r="Q10" s="5">
        <v>2107261123</v>
      </c>
      <c r="R10" s="5">
        <v>2111139152</v>
      </c>
      <c r="S10" s="7">
        <v>2114653077</v>
      </c>
    </row>
    <row r="11" spans="1:19" x14ac:dyDescent="0.35">
      <c r="A11" s="2" t="s">
        <v>16</v>
      </c>
      <c r="B11" s="3" t="s">
        <v>17</v>
      </c>
      <c r="C11" s="3" t="s">
        <v>463</v>
      </c>
      <c r="D11" s="3" t="s">
        <v>464</v>
      </c>
      <c r="E11" s="3" t="e">
        <f>VLOOKUP(C11, Continent!A:B, 2, FALSE)</f>
        <v>#N/A</v>
      </c>
      <c r="F11" s="18">
        <f>((Table1[[#This Row],[2024 '[YR2024']]]-Table1[[#This Row],[1990 '[YR1990']]])/Table1[[#This Row],[1990 '[YR1990']]])*100</f>
        <v>71.504151195958755</v>
      </c>
      <c r="G11" s="18">
        <f>((Table1[[#This Row],[2024 '[YR2024']]] / Table1[[#This Row],[1990 '[YR1990']]]) ^ (1 / (2024 - 1990)) - 1) * 100</f>
        <v>1.5992332642552398</v>
      </c>
      <c r="H11" s="3">
        <v>316087007</v>
      </c>
      <c r="I11" s="3">
        <v>325789631</v>
      </c>
      <c r="J11" s="3">
        <v>343180482</v>
      </c>
      <c r="K11" s="3">
        <v>344132977</v>
      </c>
      <c r="L11" s="3">
        <v>344810179</v>
      </c>
      <c r="M11" s="3">
        <v>345864630</v>
      </c>
      <c r="N11" s="3">
        <v>346496601</v>
      </c>
      <c r="O11" s="3">
        <v>346986142</v>
      </c>
      <c r="P11" s="3">
        <v>347207191</v>
      </c>
      <c r="Q11" s="3">
        <v>348700885</v>
      </c>
      <c r="R11" s="3">
        <v>350292725</v>
      </c>
      <c r="S11" s="6">
        <v>351125804</v>
      </c>
    </row>
    <row r="12" spans="1:19" x14ac:dyDescent="0.35">
      <c r="A12" s="4" t="s">
        <v>16</v>
      </c>
      <c r="B12" s="5" t="s">
        <v>17</v>
      </c>
      <c r="C12" s="5" t="s">
        <v>465</v>
      </c>
      <c r="D12" s="5" t="s">
        <v>466</v>
      </c>
      <c r="E12" s="5" t="e">
        <f>VLOOKUP(C12, Continent!A:B, 2, FALSE)</f>
        <v>#N/A</v>
      </c>
      <c r="F12" s="17">
        <f>((Table1[[#This Row],[2024 '[YR2024']]]-Table1[[#This Row],[1990 '[YR1990']]])/Table1[[#This Row],[1990 '[YR1990']]])*100</f>
        <v>59.417550222887286</v>
      </c>
      <c r="G12" s="17">
        <f>((Table1[[#This Row],[2024 '[YR2024']]] / Table1[[#This Row],[1990 '[YR1990']]]) ^ (1 / (2024 - 1990)) - 1) * 100</f>
        <v>1.3810873843767002</v>
      </c>
      <c r="H12" s="5">
        <v>845290251</v>
      </c>
      <c r="I12" s="5">
        <v>865392479</v>
      </c>
      <c r="J12" s="5">
        <v>907676898</v>
      </c>
      <c r="K12" s="5">
        <v>911765648</v>
      </c>
      <c r="L12" s="5">
        <v>915290996</v>
      </c>
      <c r="M12" s="5">
        <v>918947897</v>
      </c>
      <c r="N12" s="5">
        <v>922218554</v>
      </c>
      <c r="O12" s="5">
        <v>923973838</v>
      </c>
      <c r="P12" s="5">
        <v>924702975</v>
      </c>
      <c r="Q12" s="5">
        <v>925061269</v>
      </c>
      <c r="R12" s="5">
        <v>925640799</v>
      </c>
      <c r="S12" s="7">
        <v>928465742</v>
      </c>
    </row>
    <row r="13" spans="1:19" x14ac:dyDescent="0.35">
      <c r="A13" s="2" t="s">
        <v>16</v>
      </c>
      <c r="B13" s="3" t="s">
        <v>17</v>
      </c>
      <c r="C13" s="3" t="s">
        <v>467</v>
      </c>
      <c r="D13" s="3" t="s">
        <v>468</v>
      </c>
      <c r="E13" s="3" t="e">
        <f>VLOOKUP(C13, Continent!A:B, 2, FALSE)</f>
        <v>#N/A</v>
      </c>
      <c r="F13" s="18">
        <f>((Table1[[#This Row],[2024 '[YR2024']]]-Table1[[#This Row],[1990 '[YR1990']]])/Table1[[#This Row],[1990 '[YR1990']]])*100</f>
        <v>19.544950734906255</v>
      </c>
      <c r="G13" s="18">
        <f>((Table1[[#This Row],[2024 '[YR2024']]] / Table1[[#This Row],[1990 '[YR1990']]]) ^ (1 / (2024 - 1990)) - 1) * 100</f>
        <v>0.52644638892134221</v>
      </c>
      <c r="H13" s="3">
        <v>208212866</v>
      </c>
      <c r="I13" s="3">
        <v>218486598</v>
      </c>
      <c r="J13" s="3">
        <v>240232789</v>
      </c>
      <c r="K13" s="3">
        <v>242410814</v>
      </c>
      <c r="L13" s="3">
        <v>244533821</v>
      </c>
      <c r="M13" s="3">
        <v>246659127</v>
      </c>
      <c r="N13" s="3">
        <v>248863066</v>
      </c>
      <c r="O13" s="3">
        <v>250660609</v>
      </c>
      <c r="P13" s="3">
        <v>252189631</v>
      </c>
      <c r="Q13" s="3">
        <v>250840400</v>
      </c>
      <c r="R13" s="3">
        <v>249053262</v>
      </c>
      <c r="S13" s="6">
        <v>250485944</v>
      </c>
    </row>
    <row r="14" spans="1:19" x14ac:dyDescent="0.35">
      <c r="A14" s="4" t="s">
        <v>16</v>
      </c>
      <c r="B14" s="5" t="s">
        <v>17</v>
      </c>
      <c r="C14" s="5" t="s">
        <v>469</v>
      </c>
      <c r="D14" s="5" t="s">
        <v>470</v>
      </c>
      <c r="E14" s="5" t="e">
        <f>VLOOKUP(C14, Continent!A:B, 2, FALSE)</f>
        <v>#N/A</v>
      </c>
      <c r="F14" s="17">
        <f>((Table1[[#This Row],[2024 '[YR2024']]]-Table1[[#This Row],[1990 '[YR1990']]])/Table1[[#This Row],[1990 '[YR1990']]])*100</f>
        <v>42.196036347418882</v>
      </c>
      <c r="G14" s="17">
        <f>((Table1[[#This Row],[2024 '[YR2024']]] / Table1[[#This Row],[1990 '[YR1990']]]) ^ (1 / (2024 - 1990)) - 1) * 100</f>
        <v>1.0407801725671684</v>
      </c>
      <c r="H14" s="5">
        <v>430990546</v>
      </c>
      <c r="I14" s="5">
        <v>438423541</v>
      </c>
      <c r="J14" s="5">
        <v>453811483</v>
      </c>
      <c r="K14" s="5">
        <v>456099634</v>
      </c>
      <c r="L14" s="5">
        <v>458235497</v>
      </c>
      <c r="M14" s="5">
        <v>460205526</v>
      </c>
      <c r="N14" s="5">
        <v>462219596</v>
      </c>
      <c r="O14" s="5">
        <v>463151657</v>
      </c>
      <c r="P14" s="5">
        <v>463426293</v>
      </c>
      <c r="Q14" s="5">
        <v>461268322</v>
      </c>
      <c r="R14" s="5">
        <v>458932506</v>
      </c>
      <c r="S14" s="7">
        <v>459954508</v>
      </c>
    </row>
    <row r="15" spans="1:19" x14ac:dyDescent="0.35">
      <c r="A15" s="2" t="s">
        <v>16</v>
      </c>
      <c r="B15" s="3" t="s">
        <v>17</v>
      </c>
      <c r="C15" s="3" t="s">
        <v>471</v>
      </c>
      <c r="D15" s="3" t="s">
        <v>472</v>
      </c>
      <c r="E15" s="3" t="e">
        <f>VLOOKUP(C15, Continent!A:B, 2, FALSE)</f>
        <v>#N/A</v>
      </c>
      <c r="F15" s="18">
        <f>((Table1[[#This Row],[2024 '[YR2024']]]-Table1[[#This Row],[1990 '[YR1990']]])/Table1[[#This Row],[1990 '[YR1990']]])*100</f>
        <v>45.421370200583446</v>
      </c>
      <c r="G15" s="18">
        <f>((Table1[[#This Row],[2024 '[YR2024']]] / Table1[[#This Row],[1990 '[YR1990']]]) ^ (1 / (2024 - 1990)) - 1) * 100</f>
        <v>1.1074560498010255</v>
      </c>
      <c r="H15" s="3">
        <v>420525030</v>
      </c>
      <c r="I15" s="3">
        <v>429339162</v>
      </c>
      <c r="J15" s="3">
        <v>443793218</v>
      </c>
      <c r="K15" s="3">
        <v>444676652</v>
      </c>
      <c r="L15" s="3">
        <v>445321060</v>
      </c>
      <c r="M15" s="3">
        <v>446329890</v>
      </c>
      <c r="N15" s="3">
        <v>446910453</v>
      </c>
      <c r="O15" s="3">
        <v>446870959</v>
      </c>
      <c r="P15" s="3">
        <v>446227358</v>
      </c>
      <c r="Q15" s="3">
        <v>447703403</v>
      </c>
      <c r="R15" s="3">
        <v>449425965</v>
      </c>
      <c r="S15" s="6">
        <v>450185396</v>
      </c>
    </row>
    <row r="16" spans="1:19" x14ac:dyDescent="0.35">
      <c r="A16" s="4" t="s">
        <v>16</v>
      </c>
      <c r="B16" s="5" t="s">
        <v>17</v>
      </c>
      <c r="C16" s="5" t="s">
        <v>473</v>
      </c>
      <c r="D16" s="5" t="s">
        <v>474</v>
      </c>
      <c r="E16" s="5" t="e">
        <f>VLOOKUP(C16, Continent!A:B, 2, FALSE)</f>
        <v>#N/A</v>
      </c>
      <c r="F16" s="17">
        <f>((Table1[[#This Row],[2024 '[YR2024']]]-Table1[[#This Row],[1990 '[YR1990']]])/Table1[[#This Row],[1990 '[YR1990']]])*100</f>
        <v>208.60125447506493</v>
      </c>
      <c r="G16" s="17">
        <f>((Table1[[#This Row],[2024 '[YR2024']]] / Table1[[#This Row],[1990 '[YR1990']]]) ^ (1 / (2024 - 1990)) - 1) * 100</f>
        <v>3.3698889285279643</v>
      </c>
      <c r="H16" s="5">
        <v>486723712</v>
      </c>
      <c r="I16" s="5">
        <v>621080692</v>
      </c>
      <c r="J16" s="5">
        <v>890869511</v>
      </c>
      <c r="K16" s="5">
        <v>910836458</v>
      </c>
      <c r="L16" s="5">
        <v>931222867</v>
      </c>
      <c r="M16" s="5">
        <v>951851595</v>
      </c>
      <c r="N16" s="5">
        <v>973035228</v>
      </c>
      <c r="O16" s="5">
        <v>994901090</v>
      </c>
      <c r="P16" s="5">
        <v>1016906998</v>
      </c>
      <c r="Q16" s="5">
        <v>1036390026</v>
      </c>
      <c r="R16" s="5">
        <v>1057033168</v>
      </c>
      <c r="S16" s="7">
        <v>1081767572</v>
      </c>
    </row>
    <row r="17" spans="1:19" x14ac:dyDescent="0.35">
      <c r="A17" s="2" t="s">
        <v>16</v>
      </c>
      <c r="B17" s="3" t="s">
        <v>17</v>
      </c>
      <c r="C17" s="3" t="s">
        <v>475</v>
      </c>
      <c r="D17" s="3" t="s">
        <v>476</v>
      </c>
      <c r="E17" s="3" t="e">
        <f>VLOOKUP(C17, Continent!A:B, 2, FALSE)</f>
        <v>#N/A</v>
      </c>
      <c r="F17" s="18">
        <f>((Table1[[#This Row],[2024 '[YR2024']]]-Table1[[#This Row],[1990 '[YR1990']]])/Table1[[#This Row],[1990 '[YR1990']]])*100</f>
        <v>55.474858908442513</v>
      </c>
      <c r="G17" s="18">
        <f>((Table1[[#This Row],[2024 '[YR2024']]] / Table1[[#This Row],[1990 '[YR1990']]]) ^ (1 / (2024 - 1990)) - 1) * 100</f>
        <v>1.3064422724297975</v>
      </c>
      <c r="H17" s="3">
        <v>361657937</v>
      </c>
      <c r="I17" s="3">
        <v>481984327</v>
      </c>
      <c r="J17" s="3">
        <v>735429414</v>
      </c>
      <c r="K17" s="3">
        <v>756895035</v>
      </c>
      <c r="L17" s="3">
        <v>779389964</v>
      </c>
      <c r="M17" s="3">
        <v>802020674</v>
      </c>
      <c r="N17" s="3">
        <v>824649053</v>
      </c>
      <c r="O17" s="3">
        <v>847743308</v>
      </c>
      <c r="P17" s="3">
        <v>870930036</v>
      </c>
      <c r="Q17" s="3">
        <v>893906294</v>
      </c>
      <c r="R17" s="3">
        <v>917304254</v>
      </c>
      <c r="S17" s="6">
        <v>941413026</v>
      </c>
    </row>
    <row r="18" spans="1:19" x14ac:dyDescent="0.35">
      <c r="A18" s="4" t="s">
        <v>16</v>
      </c>
      <c r="B18" s="5" t="s">
        <v>17</v>
      </c>
      <c r="C18" s="5" t="s">
        <v>477</v>
      </c>
      <c r="D18" s="5" t="s">
        <v>478</v>
      </c>
      <c r="E18" s="5" t="e">
        <f>VLOOKUP(C18, Continent!A:B, 2, FALSE)</f>
        <v>#N/A</v>
      </c>
      <c r="F18" s="17">
        <f>((Table1[[#This Row],[2024 '[YR2024']]]-Table1[[#This Row],[1990 '[YR1990']]])/Table1[[#This Row],[1990 '[YR1990']]])*100</f>
        <v>9.2369151758436399</v>
      </c>
      <c r="G18" s="17">
        <f>((Table1[[#This Row],[2024 '[YR2024']]] / Table1[[#This Row],[1990 '[YR1990']]]) ^ (1 / (2024 - 1990)) - 1) * 100</f>
        <v>0.26018752308858417</v>
      </c>
      <c r="H18" s="5">
        <v>1182189938</v>
      </c>
      <c r="I18" s="5">
        <v>1255696330</v>
      </c>
      <c r="J18" s="5">
        <v>1366013616</v>
      </c>
      <c r="K18" s="5">
        <v>1374284415</v>
      </c>
      <c r="L18" s="5">
        <v>1380319892</v>
      </c>
      <c r="M18" s="5">
        <v>1385103279</v>
      </c>
      <c r="N18" s="5">
        <v>1389779202</v>
      </c>
      <c r="O18" s="5">
        <v>1393490142</v>
      </c>
      <c r="P18" s="5">
        <v>1391839631</v>
      </c>
      <c r="Q18" s="5">
        <v>1398530204</v>
      </c>
      <c r="R18" s="5">
        <v>1408764584</v>
      </c>
      <c r="S18" s="7">
        <v>1417871275</v>
      </c>
    </row>
    <row r="19" spans="1:19" x14ac:dyDescent="0.35">
      <c r="A19" s="2" t="s">
        <v>16</v>
      </c>
      <c r="B19" s="3" t="s">
        <v>17</v>
      </c>
      <c r="C19" s="3" t="s">
        <v>479</v>
      </c>
      <c r="D19" s="3" t="s">
        <v>480</v>
      </c>
      <c r="E19" s="3" t="e">
        <f>VLOOKUP(C19, Continent!A:B, 2, FALSE)</f>
        <v>#N/A</v>
      </c>
      <c r="F19" s="18">
        <f>((Table1[[#This Row],[2024 '[YR2024']]]-Table1[[#This Row],[1990 '[YR1990']]])/Table1[[#This Row],[1990 '[YR1990']]])*100</f>
        <v>-10.360191839556368</v>
      </c>
      <c r="G19" s="18">
        <f>((Table1[[#This Row],[2024 '[YR2024']]] / Table1[[#This Row],[1990 '[YR1990']]]) ^ (1 / (2024 - 1990)) - 1) * 100</f>
        <v>-0.32116163142189569</v>
      </c>
      <c r="H19" s="3">
        <v>3455533853</v>
      </c>
      <c r="I19" s="3">
        <v>3983328255</v>
      </c>
      <c r="J19" s="3">
        <v>4676922961</v>
      </c>
      <c r="K19" s="3">
        <v>4721753602</v>
      </c>
      <c r="L19" s="3">
        <v>4765998583</v>
      </c>
      <c r="M19" s="3">
        <v>4807240463</v>
      </c>
      <c r="N19" s="3">
        <v>4845361414</v>
      </c>
      <c r="O19" s="3">
        <v>4878606096</v>
      </c>
      <c r="P19" s="3">
        <v>4905534420</v>
      </c>
      <c r="Q19" s="3">
        <v>4928522353</v>
      </c>
      <c r="R19" s="3">
        <v>4952554878</v>
      </c>
      <c r="S19" s="6">
        <v>4979720059</v>
      </c>
    </row>
    <row r="20" spans="1:19" x14ac:dyDescent="0.35">
      <c r="A20" s="4" t="s">
        <v>16</v>
      </c>
      <c r="B20" s="5" t="s">
        <v>17</v>
      </c>
      <c r="C20" s="5" t="s">
        <v>481</v>
      </c>
      <c r="D20" s="5" t="s">
        <v>482</v>
      </c>
      <c r="E20" s="5" t="e">
        <f>VLOOKUP(C20, Continent!A:B, 2, FALSE)</f>
        <v>#N/A</v>
      </c>
      <c r="F20" s="17">
        <f>((Table1[[#This Row],[2024 '[YR2024']]]-Table1[[#This Row],[1990 '[YR1990']]])/Table1[[#This Row],[1990 '[YR1990']]])*100</f>
        <v>19.157142514596867</v>
      </c>
      <c r="G20" s="17">
        <f>((Table1[[#This Row],[2024 '[YR2024']]] / Table1[[#This Row],[1990 '[YR1990']]]) ^ (1 / (2024 - 1990)) - 1) * 100</f>
        <v>0.51683974215479545</v>
      </c>
      <c r="H20" s="5">
        <v>4330689753</v>
      </c>
      <c r="I20" s="5">
        <v>5116723507</v>
      </c>
      <c r="J20" s="5">
        <v>6281111240</v>
      </c>
      <c r="K20" s="5">
        <v>6360340293</v>
      </c>
      <c r="L20" s="5">
        <v>6440236993</v>
      </c>
      <c r="M20" s="5">
        <v>6518316997</v>
      </c>
      <c r="N20" s="5">
        <v>6594502842</v>
      </c>
      <c r="O20" s="5">
        <v>6666779721</v>
      </c>
      <c r="P20" s="5">
        <v>6732972939</v>
      </c>
      <c r="Q20" s="5">
        <v>6795050443</v>
      </c>
      <c r="R20" s="5">
        <v>6858864199</v>
      </c>
      <c r="S20" s="7">
        <v>6926456321</v>
      </c>
    </row>
    <row r="21" spans="1:19" x14ac:dyDescent="0.35">
      <c r="A21" s="2" t="s">
        <v>16</v>
      </c>
      <c r="B21" s="3" t="s">
        <v>17</v>
      </c>
      <c r="C21" s="3" t="s">
        <v>483</v>
      </c>
      <c r="D21" s="3" t="s">
        <v>484</v>
      </c>
      <c r="E21" s="3" t="e">
        <f>VLOOKUP(C21, Continent!A:B, 2, FALSE)</f>
        <v>#N/A</v>
      </c>
      <c r="F21" s="18">
        <f>((Table1[[#This Row],[2024 '[YR2024']]]-Table1[[#This Row],[1990 '[YR1990']]])/Table1[[#This Row],[1990 '[YR1990']]])*100</f>
        <v>127.81358561471738</v>
      </c>
      <c r="G21" s="18">
        <f>((Table1[[#This Row],[2024 '[YR2024']]] / Table1[[#This Row],[1990 '[YR1990']]]) ^ (1 / (2024 - 1990)) - 1) * 100</f>
        <v>2.4511995335023684</v>
      </c>
      <c r="H21" s="3">
        <v>300366368</v>
      </c>
      <c r="I21" s="3">
        <v>394129957</v>
      </c>
      <c r="J21" s="3">
        <v>567234056</v>
      </c>
      <c r="K21" s="3">
        <v>578463670</v>
      </c>
      <c r="L21" s="3">
        <v>590024074</v>
      </c>
      <c r="M21" s="3">
        <v>601951913</v>
      </c>
      <c r="N21" s="3">
        <v>614017319</v>
      </c>
      <c r="O21" s="3">
        <v>626440308</v>
      </c>
      <c r="P21" s="3">
        <v>639196319</v>
      </c>
      <c r="Q21" s="3">
        <v>651895919</v>
      </c>
      <c r="R21" s="3">
        <v>664395892</v>
      </c>
      <c r="S21" s="6">
        <v>676957651</v>
      </c>
    </row>
    <row r="22" spans="1:19" x14ac:dyDescent="0.35">
      <c r="A22" s="4" t="s">
        <v>16</v>
      </c>
      <c r="B22" s="5" t="s">
        <v>17</v>
      </c>
      <c r="C22" s="5" t="s">
        <v>485</v>
      </c>
      <c r="D22" s="5" t="s">
        <v>486</v>
      </c>
      <c r="E22" s="5" t="e">
        <f>VLOOKUP(C22, Continent!A:B, 2, FALSE)</f>
        <v>#N/A</v>
      </c>
      <c r="F22" s="17">
        <f>((Table1[[#This Row],[2024 '[YR2024']]]-Table1[[#This Row],[1990 '[YR1990']]])/Table1[[#This Row],[1990 '[YR1990']]])*100</f>
        <v>173.83852136873023</v>
      </c>
      <c r="G22" s="17">
        <f>((Table1[[#This Row],[2024 '[YR2024']]] / Table1[[#This Row],[1990 '[YR1990']]]) ^ (1 / (2024 - 1990)) - 1) * 100</f>
        <v>3.0071773275884839</v>
      </c>
      <c r="H22" s="5">
        <v>574789532</v>
      </c>
      <c r="I22" s="5">
        <v>739265295</v>
      </c>
      <c r="J22" s="5">
        <v>1036954223</v>
      </c>
      <c r="K22" s="5">
        <v>1060123021</v>
      </c>
      <c r="L22" s="5">
        <v>1084214336</v>
      </c>
      <c r="M22" s="5">
        <v>1109124621</v>
      </c>
      <c r="N22" s="5">
        <v>1135124109</v>
      </c>
      <c r="O22" s="5">
        <v>1161733317</v>
      </c>
      <c r="P22" s="5">
        <v>1188242200</v>
      </c>
      <c r="Q22" s="5">
        <v>1214632171</v>
      </c>
      <c r="R22" s="5">
        <v>1241913429</v>
      </c>
      <c r="S22" s="7">
        <v>1269778611</v>
      </c>
    </row>
    <row r="23" spans="1:19" x14ac:dyDescent="0.35">
      <c r="A23" s="2" t="s">
        <v>16</v>
      </c>
      <c r="B23" s="3" t="s">
        <v>17</v>
      </c>
      <c r="C23" s="3" t="s">
        <v>487</v>
      </c>
      <c r="D23" s="3" t="s">
        <v>488</v>
      </c>
      <c r="E23" s="3" t="e">
        <f>VLOOKUP(C23, Continent!A:B, 2, FALSE)</f>
        <v>#N/A</v>
      </c>
      <c r="F23" s="18">
        <f>((Table1[[#This Row],[2024 '[YR2024']]]-Table1[[#This Row],[1990 '[YR1990']]])/Table1[[#This Row],[1990 '[YR1990']]])*100</f>
        <v>12.295210132212164</v>
      </c>
      <c r="G23" s="18">
        <f>((Table1[[#This Row],[2024 '[YR2024']]] / Table1[[#This Row],[1990 '[YR1990']]]) ^ (1 / (2024 - 1990)) - 1) * 100</f>
        <v>0.34164410828891878</v>
      </c>
      <c r="H23" s="3">
        <v>875155900</v>
      </c>
      <c r="I23" s="3">
        <v>1133395252</v>
      </c>
      <c r="J23" s="3">
        <v>1604188279</v>
      </c>
      <c r="K23" s="3">
        <v>1638586691</v>
      </c>
      <c r="L23" s="3">
        <v>1674238410</v>
      </c>
      <c r="M23" s="3">
        <v>1711076534</v>
      </c>
      <c r="N23" s="3">
        <v>1749141428</v>
      </c>
      <c r="O23" s="3">
        <v>1788173625</v>
      </c>
      <c r="P23" s="3">
        <v>1827438519</v>
      </c>
      <c r="Q23" s="3">
        <v>1866528090</v>
      </c>
      <c r="R23" s="3">
        <v>1906309321</v>
      </c>
      <c r="S23" s="6">
        <v>1946736262</v>
      </c>
    </row>
    <row r="24" spans="1:19" x14ac:dyDescent="0.35">
      <c r="A24" s="4" t="s">
        <v>16</v>
      </c>
      <c r="B24" s="5" t="s">
        <v>17</v>
      </c>
      <c r="C24" s="5" t="s">
        <v>489</v>
      </c>
      <c r="D24" s="5" t="s">
        <v>490</v>
      </c>
      <c r="E24" s="5" t="e">
        <f>VLOOKUP(C24, Continent!A:B, 2, FALSE)</f>
        <v>#N/A</v>
      </c>
      <c r="F24" s="17">
        <f>((Table1[[#This Row],[2024 '[YR2024']]]-Table1[[#This Row],[1990 '[YR1990']]])/Table1[[#This Row],[1990 '[YR1990']]])*100</f>
        <v>34.318931182938023</v>
      </c>
      <c r="G24" s="17">
        <f>((Table1[[#This Row],[2024 '[YR2024']]] / Table1[[#This Row],[1990 '[YR1990']]]) ^ (1 / (2024 - 1990)) - 1) * 100</f>
        <v>0.87156107866495081</v>
      </c>
      <c r="H24" s="5">
        <v>1844718134</v>
      </c>
      <c r="I24" s="5">
        <v>2043581322</v>
      </c>
      <c r="J24" s="5">
        <v>2256276122</v>
      </c>
      <c r="K24" s="5">
        <v>2271028438</v>
      </c>
      <c r="L24" s="5">
        <v>2286095306</v>
      </c>
      <c r="M24" s="5">
        <v>2298652685</v>
      </c>
      <c r="N24" s="5">
        <v>2309164437</v>
      </c>
      <c r="O24" s="5">
        <v>2316461820</v>
      </c>
      <c r="P24" s="5">
        <v>2320449542</v>
      </c>
      <c r="Q24" s="5">
        <v>2324125644</v>
      </c>
      <c r="R24" s="5">
        <v>2326636900</v>
      </c>
      <c r="S24" s="7">
        <v>2328890789</v>
      </c>
    </row>
    <row r="25" spans="1:19" x14ac:dyDescent="0.35">
      <c r="A25" s="2" t="s">
        <v>16</v>
      </c>
      <c r="B25" s="3" t="s">
        <v>17</v>
      </c>
      <c r="C25" s="3" t="s">
        <v>491</v>
      </c>
      <c r="D25" s="3" t="s">
        <v>492</v>
      </c>
      <c r="E25" s="3" t="e">
        <f>VLOOKUP(C25, Continent!A:B, 2, FALSE)</f>
        <v>#N/A</v>
      </c>
      <c r="F25" s="18">
        <f>((Table1[[#This Row],[2024 '[YR2024']]]-Table1[[#This Row],[1990 '[YR1990']]])/Table1[[#This Row],[1990 '[YR1990']]])*100</f>
        <v>74.096322345333377</v>
      </c>
      <c r="G25" s="18">
        <f>((Table1[[#This Row],[2024 '[YR2024']]] / Table1[[#This Row],[1990 '[YR1990']]]) ^ (1 / (2024 - 1990)) - 1) * 100</f>
        <v>1.6440700848481704</v>
      </c>
      <c r="H25" s="3">
        <v>440958144</v>
      </c>
      <c r="I25" s="3">
        <v>520272118</v>
      </c>
      <c r="J25" s="3">
        <v>618868462</v>
      </c>
      <c r="K25" s="3">
        <v>624737786</v>
      </c>
      <c r="L25" s="3">
        <v>630414986</v>
      </c>
      <c r="M25" s="3">
        <v>635778081</v>
      </c>
      <c r="N25" s="3">
        <v>640962372</v>
      </c>
      <c r="O25" s="3">
        <v>645497651</v>
      </c>
      <c r="P25" s="3">
        <v>649234493</v>
      </c>
      <c r="Q25" s="3">
        <v>653104795</v>
      </c>
      <c r="R25" s="3">
        <v>657617663</v>
      </c>
      <c r="S25" s="6">
        <v>662185950</v>
      </c>
    </row>
    <row r="26" spans="1:19" x14ac:dyDescent="0.35">
      <c r="A26" s="4" t="s">
        <v>16</v>
      </c>
      <c r="B26" s="5" t="s">
        <v>17</v>
      </c>
      <c r="C26" s="5" t="s">
        <v>493</v>
      </c>
      <c r="D26" s="5" t="s">
        <v>494</v>
      </c>
      <c r="E26" s="5" t="e">
        <f>VLOOKUP(C26, Continent!A:B, 2, FALSE)</f>
        <v>#N/A</v>
      </c>
      <c r="F26" s="17">
        <f>((Table1[[#This Row],[2024 '[YR2024']]]-Table1[[#This Row],[1990 '[YR1990']]])/Table1[[#This Row],[1990 '[YR1990']]])*100</f>
        <v>-28.871644713949301</v>
      </c>
      <c r="G26" s="17">
        <f>((Table1[[#This Row],[2024 '[YR2024']]] / Table1[[#This Row],[1990 '[YR1990']]]) ^ (1 / (2024 - 1990)) - 1) * 100</f>
        <v>-0.99700870224357363</v>
      </c>
      <c r="H26" s="5">
        <v>392413347</v>
      </c>
      <c r="I26" s="5">
        <v>462953688</v>
      </c>
      <c r="J26" s="5">
        <v>551075145</v>
      </c>
      <c r="K26" s="5">
        <v>556440282</v>
      </c>
      <c r="L26" s="5">
        <v>561957179</v>
      </c>
      <c r="M26" s="5">
        <v>567711159</v>
      </c>
      <c r="N26" s="5">
        <v>573311679</v>
      </c>
      <c r="O26" s="5">
        <v>578091505</v>
      </c>
      <c r="P26" s="5">
        <v>581884231</v>
      </c>
      <c r="Q26" s="5">
        <v>585648822</v>
      </c>
      <c r="R26" s="5">
        <v>589889543</v>
      </c>
      <c r="S26" s="7">
        <v>594158638</v>
      </c>
    </row>
    <row r="27" spans="1:19" x14ac:dyDescent="0.35">
      <c r="A27" s="2" t="s">
        <v>16</v>
      </c>
      <c r="B27" s="3" t="s">
        <v>17</v>
      </c>
      <c r="C27" s="3" t="s">
        <v>495</v>
      </c>
      <c r="D27" s="3" t="s">
        <v>496</v>
      </c>
      <c r="E27" s="3" t="e">
        <f>VLOOKUP(C27, Continent!A:B, 2, FALSE)</f>
        <v>#N/A</v>
      </c>
      <c r="F27" s="18">
        <f>((Table1[[#This Row],[2024 '[YR2024']]]-Table1[[#This Row],[1990 '[YR1990']]])/Table1[[#This Row],[1990 '[YR1990']]])*100</f>
        <v>93.087747837168834</v>
      </c>
      <c r="G27" s="18">
        <f>((Table1[[#This Row],[2024 '[YR2024']]] / Table1[[#This Row],[1990 '[YR1990']]]) ^ (1 / (2024 - 1990)) - 1) * 100</f>
        <v>1.9540660164939272</v>
      </c>
      <c r="H27" s="3">
        <v>426091608</v>
      </c>
      <c r="I27" s="3">
        <v>504556065</v>
      </c>
      <c r="J27" s="3">
        <v>603091701</v>
      </c>
      <c r="K27" s="3">
        <v>609017063</v>
      </c>
      <c r="L27" s="3">
        <v>614776664</v>
      </c>
      <c r="M27" s="3">
        <v>620274430</v>
      </c>
      <c r="N27" s="3">
        <v>625467307</v>
      </c>
      <c r="O27" s="3">
        <v>630051021</v>
      </c>
      <c r="P27" s="3">
        <v>633862610</v>
      </c>
      <c r="Q27" s="3">
        <v>637837815</v>
      </c>
      <c r="R27" s="3">
        <v>642397939</v>
      </c>
      <c r="S27" s="6">
        <v>647003746</v>
      </c>
    </row>
    <row r="28" spans="1:19" x14ac:dyDescent="0.35">
      <c r="A28" s="4" t="s">
        <v>16</v>
      </c>
      <c r="B28" s="5" t="s">
        <v>17</v>
      </c>
      <c r="C28" s="5" t="s">
        <v>497</v>
      </c>
      <c r="D28" s="5" t="s">
        <v>498</v>
      </c>
      <c r="E28" s="5" t="e">
        <f>VLOOKUP(C28, Continent!A:B, 2, FALSE)</f>
        <v>#N/A</v>
      </c>
      <c r="F28" s="17">
        <f>((Table1[[#This Row],[2024 '[YR2024']]]-Table1[[#This Row],[1990 '[YR1990']]])/Table1[[#This Row],[1990 '[YR1990']]])*100</f>
        <v>42.14428837976768</v>
      </c>
      <c r="G28" s="17">
        <f>((Table1[[#This Row],[2024 '[YR2024']]] / Table1[[#This Row],[1990 '[YR1990']]]) ^ (1 / (2024 - 1990)) - 1) * 100</f>
        <v>1.0396984888491057</v>
      </c>
      <c r="H28" s="5">
        <v>519693837</v>
      </c>
      <c r="I28" s="5">
        <v>673630102</v>
      </c>
      <c r="J28" s="5">
        <v>962508256</v>
      </c>
      <c r="K28" s="5">
        <v>985414939</v>
      </c>
      <c r="L28" s="5">
        <v>1008993468</v>
      </c>
      <c r="M28" s="5">
        <v>1033110314</v>
      </c>
      <c r="N28" s="5">
        <v>1058013514</v>
      </c>
      <c r="O28" s="5">
        <v>1083636132</v>
      </c>
      <c r="P28" s="5">
        <v>1109175268</v>
      </c>
      <c r="Q28" s="5">
        <v>1134585604</v>
      </c>
      <c r="R28" s="5">
        <v>1160824674</v>
      </c>
      <c r="S28" s="7">
        <v>1187777591</v>
      </c>
    </row>
    <row r="29" spans="1:19" x14ac:dyDescent="0.35">
      <c r="A29" s="2" t="s">
        <v>16</v>
      </c>
      <c r="B29" s="3" t="s">
        <v>17</v>
      </c>
      <c r="C29" s="3" t="s">
        <v>499</v>
      </c>
      <c r="D29" s="3" t="s">
        <v>500</v>
      </c>
      <c r="E29" s="3" t="e">
        <f>VLOOKUP(C29, Continent!A:B, 2, FALSE)</f>
        <v>#N/A</v>
      </c>
      <c r="F29" s="18">
        <f>((Table1[[#This Row],[2024 '[YR2024']]]-Table1[[#This Row],[1990 '[YR1990']]])/Table1[[#This Row],[1990 '[YR1990']]])*100</f>
        <v>151.34360672440144</v>
      </c>
      <c r="G29" s="18">
        <f>((Table1[[#This Row],[2024 '[YR2024']]] / Table1[[#This Row],[1990 '[YR1990']]]) ^ (1 / (2024 - 1990)) - 1) * 100</f>
        <v>2.7478122850291165</v>
      </c>
      <c r="H29" s="3">
        <v>4049620054</v>
      </c>
      <c r="I29" s="3">
        <v>4814250279</v>
      </c>
      <c r="J29" s="3">
        <v>5941372154</v>
      </c>
      <c r="K29" s="3">
        <v>6017298320</v>
      </c>
      <c r="L29" s="3">
        <v>6094196886</v>
      </c>
      <c r="M29" s="3">
        <v>6169917356</v>
      </c>
      <c r="N29" s="3">
        <v>6243849229</v>
      </c>
      <c r="O29" s="3">
        <v>6314223170</v>
      </c>
      <c r="P29" s="3">
        <v>6378645843</v>
      </c>
      <c r="Q29" s="3">
        <v>6438272260</v>
      </c>
      <c r="R29" s="3">
        <v>6499219471</v>
      </c>
      <c r="S29" s="6">
        <v>6563719861</v>
      </c>
    </row>
    <row r="30" spans="1:19" x14ac:dyDescent="0.35">
      <c r="A30" s="4" t="s">
        <v>16</v>
      </c>
      <c r="B30" s="5" t="s">
        <v>17</v>
      </c>
      <c r="C30" s="5" t="s">
        <v>501</v>
      </c>
      <c r="D30" s="5" t="s">
        <v>502</v>
      </c>
      <c r="E30" s="5" t="e">
        <f>VLOOKUP(C30, Continent!A:B, 2, FALSE)</f>
        <v>#N/A</v>
      </c>
      <c r="F30" s="17">
        <f>((Table1[[#This Row],[2024 '[YR2024']]]-Table1[[#This Row],[1990 '[YR1990']]])/Table1[[#This Row],[1990 '[YR1990']]])*100</f>
        <v>81.251664760352853</v>
      </c>
      <c r="G30" s="17">
        <f>((Table1[[#This Row],[2024 '[YR2024']]] / Table1[[#This Row],[1990 '[YR1990']]]) ^ (1 / (2024 - 1990)) - 1) * 100</f>
        <v>1.7645530539493359</v>
      </c>
      <c r="H30" s="5">
        <v>245338485</v>
      </c>
      <c r="I30" s="5">
        <v>322668237</v>
      </c>
      <c r="J30" s="5">
        <v>488308267</v>
      </c>
      <c r="K30" s="5">
        <v>501149314</v>
      </c>
      <c r="L30" s="5">
        <v>514890519</v>
      </c>
      <c r="M30" s="5">
        <v>529522043</v>
      </c>
      <c r="N30" s="5">
        <v>544980983</v>
      </c>
      <c r="O30" s="5">
        <v>560643073</v>
      </c>
      <c r="P30" s="5">
        <v>576076618</v>
      </c>
      <c r="Q30" s="5">
        <v>591481496</v>
      </c>
      <c r="R30" s="5">
        <v>607774703</v>
      </c>
      <c r="S30" s="7">
        <v>624608098</v>
      </c>
    </row>
    <row r="31" spans="1:19" x14ac:dyDescent="0.35">
      <c r="A31" s="2" t="s">
        <v>16</v>
      </c>
      <c r="B31" s="3" t="s">
        <v>17</v>
      </c>
      <c r="C31" s="3" t="s">
        <v>503</v>
      </c>
      <c r="D31" s="3" t="s">
        <v>504</v>
      </c>
      <c r="E31" s="3" t="e">
        <f>VLOOKUP(C31, Continent!A:B, 2, FALSE)</f>
        <v>#N/A</v>
      </c>
      <c r="F31" s="18">
        <f>((Table1[[#This Row],[2024 '[YR2024']]]-Table1[[#This Row],[1990 '[YR1990']]])/Table1[[#This Row],[1990 '[YR1990']]])*100</f>
        <v>-26.082216361490197</v>
      </c>
      <c r="G31" s="18">
        <f>((Table1[[#This Row],[2024 '[YR2024']]] / Table1[[#This Row],[1990 '[YR1990']]]) ^ (1 / (2024 - 1990)) - 1) * 100</f>
        <v>-0.88493397652712469</v>
      </c>
      <c r="H31" s="3">
        <v>1711634869</v>
      </c>
      <c r="I31" s="3">
        <v>2126559759</v>
      </c>
      <c r="J31" s="3">
        <v>2765011526</v>
      </c>
      <c r="K31" s="3">
        <v>2806590212</v>
      </c>
      <c r="L31" s="3">
        <v>2847931114</v>
      </c>
      <c r="M31" s="3">
        <v>2888561818</v>
      </c>
      <c r="N31" s="3">
        <v>2928617292</v>
      </c>
      <c r="O31" s="3">
        <v>2968398856</v>
      </c>
      <c r="P31" s="3">
        <v>3006243027</v>
      </c>
      <c r="Q31" s="3">
        <v>3043358377</v>
      </c>
      <c r="R31" s="3">
        <v>3082002881</v>
      </c>
      <c r="S31" s="6">
        <v>3120983658</v>
      </c>
    </row>
    <row r="32" spans="1:19" x14ac:dyDescent="0.35">
      <c r="A32" s="4" t="s">
        <v>16</v>
      </c>
      <c r="B32" s="5" t="s">
        <v>17</v>
      </c>
      <c r="C32" s="5" t="s">
        <v>505</v>
      </c>
      <c r="D32" s="5" t="s">
        <v>506</v>
      </c>
      <c r="E32" s="5" t="e">
        <f>VLOOKUP(C32, Continent!A:B, 2, FALSE)</f>
        <v>#N/A</v>
      </c>
      <c r="F32" s="17">
        <f>((Table1[[#This Row],[2024 '[YR2024']]]-Table1[[#This Row],[1990 '[YR1990']]])/Table1[[#This Row],[1990 '[YR1990']]])*100</f>
        <v>157.10083765714532</v>
      </c>
      <c r="G32" s="17">
        <f>((Table1[[#This Row],[2024 '[YR2024']]] / Table1[[#This Row],[1990 '[YR1990']]]) ^ (1 / (2024 - 1990)) - 1) * 100</f>
        <v>2.8162754572393478</v>
      </c>
      <c r="H32" s="5">
        <v>383279026</v>
      </c>
      <c r="I32" s="5">
        <v>494850317</v>
      </c>
      <c r="J32" s="5">
        <v>694232973</v>
      </c>
      <c r="K32" s="5">
        <v>707023525</v>
      </c>
      <c r="L32" s="5">
        <v>718887744</v>
      </c>
      <c r="M32" s="5">
        <v>730362334</v>
      </c>
      <c r="N32" s="5">
        <v>742714463</v>
      </c>
      <c r="O32" s="5">
        <v>756405281</v>
      </c>
      <c r="P32" s="5">
        <v>767578451</v>
      </c>
      <c r="Q32" s="5">
        <v>782349366</v>
      </c>
      <c r="R32" s="5">
        <v>797801454</v>
      </c>
      <c r="S32" s="7">
        <v>813118814</v>
      </c>
    </row>
    <row r="33" spans="1:19" x14ac:dyDescent="0.35">
      <c r="A33" s="2" t="s">
        <v>16</v>
      </c>
      <c r="B33" s="3" t="s">
        <v>17</v>
      </c>
      <c r="C33" s="3" t="s">
        <v>507</v>
      </c>
      <c r="D33" s="3" t="s">
        <v>508</v>
      </c>
      <c r="E33" s="3" t="e">
        <f>VLOOKUP(C33, Continent!A:B, 2, FALSE)</f>
        <v>#N/A</v>
      </c>
      <c r="F33" s="18">
        <f>((Table1[[#This Row],[2024 '[YR2024']]]-Table1[[#This Row],[1990 '[YR1990']]])/Table1[[#This Row],[1990 '[YR1990']]])*100</f>
        <v>151.43467431482648</v>
      </c>
      <c r="G33" s="18">
        <f>((Table1[[#This Row],[2024 '[YR2024']]] / Table1[[#This Row],[1990 '[YR1990']]]) ^ (1 / (2024 - 1990)) - 1) * 100</f>
        <v>2.7489070309040908</v>
      </c>
      <c r="H33" s="3">
        <v>361322200</v>
      </c>
      <c r="I33" s="3">
        <v>462980522</v>
      </c>
      <c r="J33" s="3">
        <v>635352686</v>
      </c>
      <c r="K33" s="3">
        <v>645837915</v>
      </c>
      <c r="L33" s="3">
        <v>656767614</v>
      </c>
      <c r="M33" s="3">
        <v>668447432</v>
      </c>
      <c r="N33" s="3">
        <v>680490997</v>
      </c>
      <c r="O33" s="3">
        <v>692532027</v>
      </c>
      <c r="P33" s="3">
        <v>704458802</v>
      </c>
      <c r="Q33" s="3">
        <v>716508657</v>
      </c>
      <c r="R33" s="3">
        <v>729077445</v>
      </c>
      <c r="S33" s="6">
        <v>741690916</v>
      </c>
    </row>
    <row r="34" spans="1:19" x14ac:dyDescent="0.35">
      <c r="A34" s="4" t="s">
        <v>16</v>
      </c>
      <c r="B34" s="5" t="s">
        <v>17</v>
      </c>
      <c r="C34" s="5" t="s">
        <v>509</v>
      </c>
      <c r="D34" s="5" t="s">
        <v>510</v>
      </c>
      <c r="E34" s="5" t="e">
        <f>VLOOKUP(C34, Continent!A:B, 2, FALSE)</f>
        <v>#N/A</v>
      </c>
      <c r="F34" s="17">
        <f>((Table1[[#This Row],[2024 '[YR2024']]]-Table1[[#This Row],[1990 '[YR1990']]])/Table1[[#This Row],[1990 '[YR1990']]])*100</f>
        <v>39.807632888330119</v>
      </c>
      <c r="G34" s="17">
        <f>((Table1[[#This Row],[2024 '[YR2024']]] / Table1[[#This Row],[1990 '[YR1990']]]) ^ (1 / (2024 - 1990)) - 1) * 100</f>
        <v>0.99045295672246514</v>
      </c>
      <c r="H34" s="5">
        <v>359343952</v>
      </c>
      <c r="I34" s="5">
        <v>460058369</v>
      </c>
      <c r="J34" s="5">
        <v>631082594</v>
      </c>
      <c r="K34" s="5">
        <v>641470827</v>
      </c>
      <c r="L34" s="5">
        <v>652312809</v>
      </c>
      <c r="M34" s="5">
        <v>663878345</v>
      </c>
      <c r="N34" s="5">
        <v>675805691</v>
      </c>
      <c r="O34" s="5">
        <v>687728758</v>
      </c>
      <c r="P34" s="5">
        <v>699536053</v>
      </c>
      <c r="Q34" s="5">
        <v>711465045</v>
      </c>
      <c r="R34" s="5">
        <v>723911670</v>
      </c>
      <c r="S34" s="7">
        <v>736401764</v>
      </c>
    </row>
    <row r="35" spans="1:19" x14ac:dyDescent="0.35">
      <c r="A35" s="2" t="s">
        <v>16</v>
      </c>
      <c r="B35" s="3" t="s">
        <v>17</v>
      </c>
      <c r="C35" s="3" t="s">
        <v>511</v>
      </c>
      <c r="D35" s="3" t="s">
        <v>512</v>
      </c>
      <c r="E35" s="3" t="e">
        <f>VLOOKUP(C35, Continent!A:B, 2, FALSE)</f>
        <v>#N/A</v>
      </c>
      <c r="F35" s="18">
        <f>((Table1[[#This Row],[2024 '[YR2024']]]-Table1[[#This Row],[1990 '[YR1990']]])/Table1[[#This Row],[1990 '[YR1990']]])*100</f>
        <v>139.17822592542771</v>
      </c>
      <c r="G35" s="18">
        <f>((Table1[[#This Row],[2024 '[YR2024']]] / Table1[[#This Row],[1990 '[YR1990']]]) ^ (1 / (2024 - 1990)) - 1) * 100</f>
        <v>2.5979945328681309</v>
      </c>
      <c r="H35" s="3">
        <v>3804281569</v>
      </c>
      <c r="I35" s="3">
        <v>4491582042</v>
      </c>
      <c r="J35" s="3">
        <v>5453063887</v>
      </c>
      <c r="K35" s="3">
        <v>5516149006</v>
      </c>
      <c r="L35" s="3">
        <v>5579306367</v>
      </c>
      <c r="M35" s="3">
        <v>5640395313</v>
      </c>
      <c r="N35" s="3">
        <v>5698868246</v>
      </c>
      <c r="O35" s="3">
        <v>5753580097</v>
      </c>
      <c r="P35" s="3">
        <v>5802569225</v>
      </c>
      <c r="Q35" s="3">
        <v>5846790764</v>
      </c>
      <c r="R35" s="3">
        <v>5891444768</v>
      </c>
      <c r="S35" s="6">
        <v>5939111763</v>
      </c>
    </row>
    <row r="36" spans="1:19" x14ac:dyDescent="0.35">
      <c r="A36" s="4" t="s">
        <v>16</v>
      </c>
      <c r="B36" s="5" t="s">
        <v>17</v>
      </c>
      <c r="C36" s="5" t="s">
        <v>513</v>
      </c>
      <c r="D36" s="5" t="s">
        <v>514</v>
      </c>
      <c r="E36" s="5" t="e">
        <f>VLOOKUP(C36, Continent!A:B, 2, FALSE)</f>
        <v>#N/A</v>
      </c>
      <c r="F36" s="17">
        <f>((Table1[[#This Row],[2024 '[YR2024']]]-Table1[[#This Row],[1990 '[YR1990']]])/Table1[[#This Row],[1990 '[YR1990']]])*100</f>
        <v>157.00850728228056</v>
      </c>
      <c r="G36" s="17">
        <f>((Table1[[#This Row],[2024 '[YR2024']]] / Table1[[#This Row],[1990 '[YR1990']]]) ^ (1 / (2024 - 1990)) - 1) * 100</f>
        <v>2.8151892823523816</v>
      </c>
      <c r="H36" s="5">
        <v>277371697</v>
      </c>
      <c r="I36" s="5">
        <v>312909691</v>
      </c>
      <c r="J36" s="5">
        <v>357583083</v>
      </c>
      <c r="K36" s="5">
        <v>360527592</v>
      </c>
      <c r="L36" s="5">
        <v>363217262</v>
      </c>
      <c r="M36" s="5">
        <v>365666028</v>
      </c>
      <c r="N36" s="5">
        <v>367908829</v>
      </c>
      <c r="O36" s="5">
        <v>369670740</v>
      </c>
      <c r="P36" s="5">
        <v>370404272</v>
      </c>
      <c r="Q36" s="5">
        <v>373018004</v>
      </c>
      <c r="R36" s="5">
        <v>376954413</v>
      </c>
      <c r="S36" s="7">
        <v>381464223</v>
      </c>
    </row>
    <row r="37" spans="1:19" x14ac:dyDescent="0.35">
      <c r="A37" s="2" t="s">
        <v>16</v>
      </c>
      <c r="B37" s="3" t="s">
        <v>17</v>
      </c>
      <c r="C37" s="3" t="s">
        <v>515</v>
      </c>
      <c r="D37" s="3" t="s">
        <v>516</v>
      </c>
      <c r="E37" s="3" t="e">
        <f>VLOOKUP(C37, Continent!A:B, 2, FALSE)</f>
        <v>#N/A</v>
      </c>
      <c r="F37" s="18">
        <f>((Table1[[#This Row],[2024 '[YR2024']]]-Table1[[#This Row],[1990 '[YR1990']]])/Table1[[#This Row],[1990 '[YR1990']]])*100</f>
        <v>49.104016599101129</v>
      </c>
      <c r="G37" s="18">
        <f>((Table1[[#This Row],[2024 '[YR2024']]] / Table1[[#This Row],[1990 '[YR1990']]]) ^ (1 / (2024 - 1990)) - 1) * 100</f>
        <v>1.1818527912198951</v>
      </c>
      <c r="H37" s="3" t="s">
        <v>517</v>
      </c>
      <c r="I37" s="3" t="s">
        <v>517</v>
      </c>
      <c r="J37" s="3" t="s">
        <v>517</v>
      </c>
      <c r="K37" s="3" t="s">
        <v>517</v>
      </c>
      <c r="L37" s="3" t="s">
        <v>517</v>
      </c>
      <c r="M37" s="3" t="s">
        <v>517</v>
      </c>
      <c r="N37" s="3" t="s">
        <v>517</v>
      </c>
      <c r="O37" s="3" t="s">
        <v>517</v>
      </c>
      <c r="P37" s="3" t="s">
        <v>517</v>
      </c>
      <c r="Q37" s="3" t="s">
        <v>517</v>
      </c>
      <c r="R37" s="3" t="s">
        <v>517</v>
      </c>
      <c r="S37" s="6" t="s">
        <v>517</v>
      </c>
    </row>
    <row r="38" spans="1:19" x14ac:dyDescent="0.35">
      <c r="A38" s="4" t="s">
        <v>16</v>
      </c>
      <c r="B38" s="5" t="s">
        <v>17</v>
      </c>
      <c r="C38" s="5" t="s">
        <v>518</v>
      </c>
      <c r="D38" s="5" t="s">
        <v>519</v>
      </c>
      <c r="E38" s="5" t="e">
        <f>VLOOKUP(C38, Continent!A:B, 2, FALSE)</f>
        <v>#N/A</v>
      </c>
      <c r="F38" s="17">
        <f>((Table1[[#This Row],[2024 '[YR2024']]]-Table1[[#This Row],[1990 '[YR1990']]])/Table1[[#This Row],[1990 '[YR1990']]])*100</f>
        <v>186.38409169583446</v>
      </c>
      <c r="G38" s="17">
        <f>((Table1[[#This Row],[2024 '[YR2024']]] / Table1[[#This Row],[1990 '[YR1990']]]) ^ (1 / (2024 - 1990)) - 1) * 100</f>
        <v>3.1429796126973164</v>
      </c>
      <c r="H38" s="5">
        <v>1107695519</v>
      </c>
      <c r="I38" s="5">
        <v>1202226474</v>
      </c>
      <c r="J38" s="5">
        <v>1331675197</v>
      </c>
      <c r="K38" s="5">
        <v>1340142055</v>
      </c>
      <c r="L38" s="5">
        <v>1348127258</v>
      </c>
      <c r="M38" s="5">
        <v>1356470975</v>
      </c>
      <c r="N38" s="5">
        <v>1364155119</v>
      </c>
      <c r="O38" s="5">
        <v>1369327995</v>
      </c>
      <c r="P38" s="5">
        <v>1371811773</v>
      </c>
      <c r="Q38" s="5">
        <v>1379097485</v>
      </c>
      <c r="R38" s="5">
        <v>1388472514</v>
      </c>
      <c r="S38" s="7">
        <v>1396914190</v>
      </c>
    </row>
    <row r="39" spans="1:19" x14ac:dyDescent="0.35">
      <c r="A39" s="2" t="s">
        <v>16</v>
      </c>
      <c r="B39" s="3" t="s">
        <v>17</v>
      </c>
      <c r="C39" s="3" t="s">
        <v>520</v>
      </c>
      <c r="D39" s="3" t="s">
        <v>521</v>
      </c>
      <c r="E39" s="3" t="e">
        <f>VLOOKUP(C39, Continent!A:B, 2, FALSE)</f>
        <v>#N/A</v>
      </c>
      <c r="F39" s="18">
        <f>((Table1[[#This Row],[2024 '[YR2024']]]-Table1[[#This Row],[1990 '[YR1990']]])/Table1[[#This Row],[1990 '[YR1990']]])*100</f>
        <v>85.614799906682322</v>
      </c>
      <c r="G39" s="18">
        <f>((Table1[[#This Row],[2024 '[YR2024']]] / Table1[[#This Row],[1990 '[YR1990']]]) ^ (1 / (2024 - 1990)) - 1) * 100</f>
        <v>1.8357744800385767</v>
      </c>
      <c r="H39" s="3">
        <v>8949306</v>
      </c>
      <c r="I39" s="3">
        <v>9788238</v>
      </c>
      <c r="J39" s="3">
        <v>11722398</v>
      </c>
      <c r="K39" s="3">
        <v>11851918</v>
      </c>
      <c r="L39" s="3">
        <v>11989367</v>
      </c>
      <c r="M39" s="3">
        <v>12135267</v>
      </c>
      <c r="N39" s="3">
        <v>12281907</v>
      </c>
      <c r="O39" s="3">
        <v>12417333</v>
      </c>
      <c r="P39" s="3">
        <v>12541889</v>
      </c>
      <c r="Q39" s="3">
        <v>12699005</v>
      </c>
      <c r="R39" s="3">
        <v>12842214</v>
      </c>
      <c r="S39" s="6">
        <v>12969162</v>
      </c>
    </row>
    <row r="40" spans="1:19" x14ac:dyDescent="0.35">
      <c r="A40" s="4" t="s">
        <v>16</v>
      </c>
      <c r="B40" s="5" t="s">
        <v>17</v>
      </c>
      <c r="C40" s="5" t="s">
        <v>522</v>
      </c>
      <c r="D40" s="5" t="s">
        <v>523</v>
      </c>
      <c r="E40" s="5" t="e">
        <f>VLOOKUP(C40, Continent!A:B, 2, FALSE)</f>
        <v>#N/A</v>
      </c>
      <c r="F40" s="17">
        <f>((Table1[[#This Row],[2024 '[YR2024']]]-Table1[[#This Row],[1990 '[YR1990']]])/Table1[[#This Row],[1990 '[YR1990']]])*100</f>
        <v>239.28948041839041</v>
      </c>
      <c r="G40" s="17">
        <f>((Table1[[#This Row],[2024 '[YR2024']]] / Table1[[#This Row],[1990 '[YR1990']]]) ^ (1 / (2024 - 1990)) - 1) * 100</f>
        <v>3.6585218532269481</v>
      </c>
      <c r="H40" s="5">
        <v>1775607</v>
      </c>
      <c r="I40" s="5">
        <v>2042274</v>
      </c>
      <c r="J40" s="5">
        <v>2445989</v>
      </c>
      <c r="K40" s="5">
        <v>2477794</v>
      </c>
      <c r="L40" s="5">
        <v>2509999</v>
      </c>
      <c r="M40" s="5">
        <v>2542009</v>
      </c>
      <c r="N40" s="5">
        <v>2568656</v>
      </c>
      <c r="O40" s="5">
        <v>2595522</v>
      </c>
      <c r="P40" s="5">
        <v>2625493</v>
      </c>
      <c r="Q40" s="5">
        <v>2656049</v>
      </c>
      <c r="R40" s="5">
        <v>2689224</v>
      </c>
      <c r="S40" s="7">
        <v>2722467</v>
      </c>
    </row>
    <row r="41" spans="1:19" x14ac:dyDescent="0.35">
      <c r="A41" s="2" t="s">
        <v>16</v>
      </c>
      <c r="B41" s="3" t="s">
        <v>17</v>
      </c>
      <c r="C41" s="3" t="s">
        <v>524</v>
      </c>
      <c r="D41" s="3" t="s">
        <v>525</v>
      </c>
      <c r="E41" s="3" t="e">
        <f>VLOOKUP(C41, Continent!A:B, 2, FALSE)</f>
        <v>#N/A</v>
      </c>
      <c r="F41" s="18">
        <f>((Table1[[#This Row],[2024 '[YR2024']]]-Table1[[#This Row],[1990 '[YR1990']]])/Table1[[#This Row],[1990 '[YR1990']]])*100</f>
        <v>17.499143877501101</v>
      </c>
      <c r="G41" s="18">
        <f>((Table1[[#This Row],[2024 '[YR2024']]] / Table1[[#This Row],[1990 '[YR1990']]]) ^ (1 / (2024 - 1990)) - 1) * 100</f>
        <v>0.47542321818967448</v>
      </c>
      <c r="H41" s="3">
        <v>964371624</v>
      </c>
      <c r="I41" s="3">
        <v>1021150563</v>
      </c>
      <c r="J41" s="3">
        <v>1097890139</v>
      </c>
      <c r="K41" s="3">
        <v>1102966925</v>
      </c>
      <c r="L41" s="3">
        <v>1107161559</v>
      </c>
      <c r="M41" s="3">
        <v>1111377470</v>
      </c>
      <c r="N41" s="3">
        <v>1114907717</v>
      </c>
      <c r="O41" s="3">
        <v>1117025276</v>
      </c>
      <c r="P41" s="3">
        <v>1116609473</v>
      </c>
      <c r="Q41" s="3">
        <v>1117926537</v>
      </c>
      <c r="R41" s="3">
        <v>1121892872</v>
      </c>
      <c r="S41" s="6">
        <v>1128430188</v>
      </c>
    </row>
    <row r="42" spans="1:19" x14ac:dyDescent="0.35">
      <c r="A42" s="4" t="s">
        <v>16</v>
      </c>
      <c r="B42" s="5" t="s">
        <v>17</v>
      </c>
      <c r="C42" s="5" t="s">
        <v>526</v>
      </c>
      <c r="D42" s="5" t="s">
        <v>527</v>
      </c>
      <c r="E42" s="5" t="e">
        <f>VLOOKUP(C42, Continent!A:B, 2, FALSE)</f>
        <v>#N/A</v>
      </c>
      <c r="F42" s="17">
        <f>((Table1[[#This Row],[2024 '[YR2024']]]-Table1[[#This Row],[1990 '[YR1990']]])/Table1[[#This Row],[1990 '[YR1990']]])*100</f>
        <v>47.090214491497321</v>
      </c>
      <c r="G42" s="17">
        <f>((Table1[[#This Row],[2024 '[YR2024']]] / Table1[[#This Row],[1990 '[YR1990']]]) ^ (1 / (2024 - 1990)) - 1) * 100</f>
        <v>1.1413939211086355</v>
      </c>
      <c r="H42" s="5">
        <v>422471117</v>
      </c>
      <c r="I42" s="5">
        <v>562428025</v>
      </c>
      <c r="J42" s="5">
        <v>870587800</v>
      </c>
      <c r="K42" s="5">
        <v>895239872</v>
      </c>
      <c r="L42" s="5">
        <v>920568701</v>
      </c>
      <c r="M42" s="5">
        <v>946317177</v>
      </c>
      <c r="N42" s="5">
        <v>972302503</v>
      </c>
      <c r="O42" s="5">
        <v>998624261</v>
      </c>
      <c r="P42" s="5">
        <v>1024960313</v>
      </c>
      <c r="Q42" s="5">
        <v>1051201551</v>
      </c>
      <c r="R42" s="5">
        <v>1078224044</v>
      </c>
      <c r="S42" s="7">
        <v>1105951788</v>
      </c>
    </row>
    <row r="43" spans="1:19" x14ac:dyDescent="0.35">
      <c r="A43" s="2" t="s">
        <v>16</v>
      </c>
      <c r="B43" s="3" t="s">
        <v>17</v>
      </c>
      <c r="C43" s="3" t="s">
        <v>528</v>
      </c>
      <c r="D43" s="3" t="s">
        <v>529</v>
      </c>
      <c r="E43" s="3" t="e">
        <f>VLOOKUP(C43, Continent!A:B, 2, FALSE)</f>
        <v>#N/A</v>
      </c>
      <c r="F43" s="18">
        <f>((Table1[[#This Row],[2024 '[YR2024']]]-Table1[[#This Row],[1990 '[YR1990']]])/Table1[[#This Row],[1990 '[YR1990']]])*100</f>
        <v>24.118535745275</v>
      </c>
      <c r="G43" s="18">
        <f>((Table1[[#This Row],[2024 '[YR2024']]] / Table1[[#This Row],[1990 '[YR1990']]]) ^ (1 / (2024 - 1990)) - 1) * 100</f>
        <v>0.6375142808793921</v>
      </c>
      <c r="H43" s="3">
        <v>14379862</v>
      </c>
      <c r="I43" s="3">
        <v>15786741</v>
      </c>
      <c r="J43" s="3">
        <v>18482578</v>
      </c>
      <c r="K43" s="3">
        <v>18671045</v>
      </c>
      <c r="L43" s="3">
        <v>18865506</v>
      </c>
      <c r="M43" s="3">
        <v>19084934</v>
      </c>
      <c r="N43" s="3">
        <v>19293697</v>
      </c>
      <c r="O43" s="3">
        <v>19472157</v>
      </c>
      <c r="P43" s="3">
        <v>19646549</v>
      </c>
      <c r="Q43" s="3">
        <v>19852364</v>
      </c>
      <c r="R43" s="3">
        <v>20051342</v>
      </c>
      <c r="S43" s="6">
        <v>20230689</v>
      </c>
    </row>
    <row r="44" spans="1:19" x14ac:dyDescent="0.35">
      <c r="A44" s="4" t="s">
        <v>16</v>
      </c>
      <c r="B44" s="5" t="s">
        <v>17</v>
      </c>
      <c r="C44" s="5" t="s">
        <v>530</v>
      </c>
      <c r="D44" s="5" t="s">
        <v>531</v>
      </c>
      <c r="E44" s="5" t="e">
        <f>VLOOKUP(C44, Continent!A:B, 2, FALSE)</f>
        <v>#N/A</v>
      </c>
      <c r="F44" s="17">
        <f>((Table1[[#This Row],[2024 '[YR2024']]]-Table1[[#This Row],[1990 '[YR1990']]])/Table1[[#This Row],[1990 '[YR1990']]])*100</f>
        <v>63.027899231657003</v>
      </c>
      <c r="G44" s="17">
        <f>((Table1[[#This Row],[2024 '[YR2024']]] / Table1[[#This Row],[1990 '[YR1990']]]) ^ (1 / (2024 - 1990)) - 1) * 100</f>
        <v>1.4478851817839367</v>
      </c>
      <c r="H44" s="5">
        <v>1013297018</v>
      </c>
      <c r="I44" s="5">
        <v>1237185482</v>
      </c>
      <c r="J44" s="5">
        <v>1537370078</v>
      </c>
      <c r="K44" s="5">
        <v>1555111864</v>
      </c>
      <c r="L44" s="5">
        <v>1572520427</v>
      </c>
      <c r="M44" s="5">
        <v>1589164714</v>
      </c>
      <c r="N44" s="5">
        <v>1605412986</v>
      </c>
      <c r="O44" s="5">
        <v>1621073417</v>
      </c>
      <c r="P44" s="5">
        <v>1634785356</v>
      </c>
      <c r="Q44" s="5">
        <v>1648009565</v>
      </c>
      <c r="R44" s="5">
        <v>1662580579</v>
      </c>
      <c r="S44" s="7">
        <v>1677384532</v>
      </c>
    </row>
    <row r="45" spans="1:19" x14ac:dyDescent="0.35">
      <c r="A45" s="2" t="s">
        <v>16</v>
      </c>
      <c r="B45" s="3" t="s">
        <v>17</v>
      </c>
      <c r="C45" s="3" t="s">
        <v>532</v>
      </c>
      <c r="D45" s="3" t="s">
        <v>533</v>
      </c>
      <c r="E45" s="3" t="e">
        <f>VLOOKUP(C45, Continent!A:B, 2, FALSE)</f>
        <v>#N/A</v>
      </c>
      <c r="F45" s="18">
        <f>((Table1[[#This Row],[2024 '[YR2024']]]-Table1[[#This Row],[1990 '[YR1990']]])/Table1[[#This Row],[1990 '[YR1990']]])*100</f>
        <v>94.924830632754237</v>
      </c>
      <c r="G45" s="18">
        <f>((Table1[[#This Row],[2024 '[YR2024']]] / Table1[[#This Row],[1990 '[YR1990']]]) ^ (1 / (2024 - 1990)) - 1) * 100</f>
        <v>1.9824649661737359</v>
      </c>
      <c r="H45" s="3">
        <v>1013297018</v>
      </c>
      <c r="I45" s="3">
        <v>1237185482</v>
      </c>
      <c r="J45" s="3">
        <v>1537370078</v>
      </c>
      <c r="K45" s="3">
        <v>1555111864</v>
      </c>
      <c r="L45" s="3">
        <v>1572520427</v>
      </c>
      <c r="M45" s="3">
        <v>1589164714</v>
      </c>
      <c r="N45" s="3">
        <v>1605412986</v>
      </c>
      <c r="O45" s="3">
        <v>1621073417</v>
      </c>
      <c r="P45" s="3">
        <v>1634785356</v>
      </c>
      <c r="Q45" s="3">
        <v>1648009565</v>
      </c>
      <c r="R45" s="3">
        <v>1662580579</v>
      </c>
      <c r="S45" s="6">
        <v>1677384532</v>
      </c>
    </row>
    <row r="46" spans="1:19" x14ac:dyDescent="0.35">
      <c r="A46" s="4" t="s">
        <v>16</v>
      </c>
      <c r="B46" s="5" t="s">
        <v>17</v>
      </c>
      <c r="C46" s="5" t="s">
        <v>534</v>
      </c>
      <c r="D46" s="5" t="s">
        <v>535</v>
      </c>
      <c r="E46" s="5" t="e">
        <f>VLOOKUP(C46, Continent!A:B, 2, FALSE)</f>
        <v>#N/A</v>
      </c>
      <c r="F46" s="17">
        <f>((Table1[[#This Row],[2024 '[YR2024']]]-Table1[[#This Row],[1990 '[YR1990']]])/Table1[[#This Row],[1990 '[YR1990']]])*100</f>
        <v>197.88484716101377</v>
      </c>
      <c r="G46" s="17">
        <f>((Table1[[#This Row],[2024 '[YR2024']]] / Table1[[#This Row],[1990 '[YR1990']]]) ^ (1 / (2024 - 1990)) - 1) * 100</f>
        <v>3.2624917216808047</v>
      </c>
      <c r="H46" s="5">
        <v>521314712</v>
      </c>
      <c r="I46" s="5">
        <v>681125107</v>
      </c>
      <c r="J46" s="5">
        <v>1025251114</v>
      </c>
      <c r="K46" s="5">
        <v>1052824144</v>
      </c>
      <c r="L46" s="5">
        <v>1080941647</v>
      </c>
      <c r="M46" s="5">
        <v>1109997000</v>
      </c>
      <c r="N46" s="5">
        <v>1139315618</v>
      </c>
      <c r="O46" s="5">
        <v>1169015451</v>
      </c>
      <c r="P46" s="5">
        <v>1199011925</v>
      </c>
      <c r="Q46" s="5">
        <v>1229208573</v>
      </c>
      <c r="R46" s="5">
        <v>1259902353</v>
      </c>
      <c r="S46" s="7">
        <v>1291058694</v>
      </c>
    </row>
    <row r="47" spans="1:19" x14ac:dyDescent="0.35">
      <c r="A47" s="2" t="s">
        <v>16</v>
      </c>
      <c r="B47" s="3" t="s">
        <v>17</v>
      </c>
      <c r="C47" s="3" t="s">
        <v>536</v>
      </c>
      <c r="D47" s="3" t="s">
        <v>537</v>
      </c>
      <c r="E47" s="3" t="e">
        <f>VLOOKUP(C47, Continent!A:B, 2, FALSE)</f>
        <v>#N/A</v>
      </c>
      <c r="F47" s="18">
        <f>((Table1[[#This Row],[2024 '[YR2024']]]-Table1[[#This Row],[1990 '[YR1990']]])/Table1[[#This Row],[1990 '[YR1990']]])*100</f>
        <v>166.02820344792821</v>
      </c>
      <c r="G47" s="18">
        <f>((Table1[[#This Row],[2024 '[YR2024']]] / Table1[[#This Row],[1990 '[YR1990']]]) ^ (1 / (2024 - 1990)) - 1) * 100</f>
        <v>2.9195486565521733</v>
      </c>
      <c r="H47" s="3">
        <v>473635450</v>
      </c>
      <c r="I47" s="3">
        <v>613632482</v>
      </c>
      <c r="J47" s="3">
        <v>921290560</v>
      </c>
      <c r="K47" s="3">
        <v>946011305</v>
      </c>
      <c r="L47" s="3">
        <v>971179323</v>
      </c>
      <c r="M47" s="3">
        <v>997236086</v>
      </c>
      <c r="N47" s="3">
        <v>1023480610</v>
      </c>
      <c r="O47" s="3">
        <v>1049999318</v>
      </c>
      <c r="P47" s="3">
        <v>1076774079</v>
      </c>
      <c r="Q47" s="3">
        <v>1103704408</v>
      </c>
      <c r="R47" s="3">
        <v>1131090888</v>
      </c>
      <c r="S47" s="6">
        <v>1158877573</v>
      </c>
    </row>
    <row r="48" spans="1:19" x14ac:dyDescent="0.35">
      <c r="A48" s="4" t="s">
        <v>16</v>
      </c>
      <c r="B48" s="5" t="s">
        <v>17</v>
      </c>
      <c r="C48" s="5" t="s">
        <v>538</v>
      </c>
      <c r="D48" s="5" t="s">
        <v>539</v>
      </c>
      <c r="E48" s="5" t="e">
        <f>VLOOKUP(C48, Continent!A:B, 2, FALSE)</f>
        <v>#N/A</v>
      </c>
      <c r="F48" s="17">
        <f>((Table1[[#This Row],[2024 '[YR2024']]]-Table1[[#This Row],[1990 '[YR1990']]])/Table1[[#This Row],[1990 '[YR1990']]])*100</f>
        <v>64.330337321964336</v>
      </c>
      <c r="G48" s="17">
        <f>((Table1[[#This Row],[2024 '[YR2024']]] / Table1[[#This Row],[1990 '[YR1990']]]) ^ (1 / (2024 - 1990)) - 1) * 100</f>
        <v>1.4716306646982646</v>
      </c>
      <c r="H48" s="5">
        <v>521314712</v>
      </c>
      <c r="I48" s="5">
        <v>681125107</v>
      </c>
      <c r="J48" s="5">
        <v>1025251114</v>
      </c>
      <c r="K48" s="5">
        <v>1052824144</v>
      </c>
      <c r="L48" s="5">
        <v>1080941647</v>
      </c>
      <c r="M48" s="5">
        <v>1109997000</v>
      </c>
      <c r="N48" s="5">
        <v>1139315618</v>
      </c>
      <c r="O48" s="5">
        <v>1169015451</v>
      </c>
      <c r="P48" s="5">
        <v>1199011925</v>
      </c>
      <c r="Q48" s="5">
        <v>1229208573</v>
      </c>
      <c r="R48" s="5">
        <v>1259902353</v>
      </c>
      <c r="S48" s="7">
        <v>1291058694</v>
      </c>
    </row>
    <row r="49" spans="1:19" x14ac:dyDescent="0.35">
      <c r="A49" s="2" t="s">
        <v>16</v>
      </c>
      <c r="B49" s="3" t="s">
        <v>17</v>
      </c>
      <c r="C49" s="3" t="s">
        <v>540</v>
      </c>
      <c r="D49" s="3" t="s">
        <v>541</v>
      </c>
      <c r="E49" s="3" t="e">
        <f>VLOOKUP(C49, Continent!A:B, 2, FALSE)</f>
        <v>#N/A</v>
      </c>
      <c r="F49" s="18">
        <f>((Table1[[#This Row],[2024 '[YR2024']]]-Table1[[#This Row],[1990 '[YR1990']]])/Table1[[#This Row],[1990 '[YR1990']]])*100</f>
        <v>161.97548470529981</v>
      </c>
      <c r="G49" s="18">
        <f>((Table1[[#This Row],[2024 '[YR2024']]] / Table1[[#This Row],[1990 '[YR1990']]]) ^ (1 / (2024 - 1990)) - 1) * 100</f>
        <v>2.8730897538186806</v>
      </c>
      <c r="H49" s="3">
        <v>2092646700</v>
      </c>
      <c r="I49" s="3">
        <v>2365022283</v>
      </c>
      <c r="J49" s="3">
        <v>2688052361</v>
      </c>
      <c r="K49" s="3">
        <v>2709558794</v>
      </c>
      <c r="L49" s="3">
        <v>2731375253</v>
      </c>
      <c r="M49" s="3">
        <v>2751833495</v>
      </c>
      <c r="N49" s="3">
        <v>2770250954</v>
      </c>
      <c r="O49" s="3">
        <v>2785181241</v>
      </c>
      <c r="P49" s="3">
        <v>2796326198</v>
      </c>
      <c r="Q49" s="3">
        <v>2803432387</v>
      </c>
      <c r="R49" s="3">
        <v>2809441887</v>
      </c>
      <c r="S49" s="6">
        <v>2818128105</v>
      </c>
    </row>
    <row r="50" spans="1:19" x14ac:dyDescent="0.35">
      <c r="A50" s="11" t="s">
        <v>16</v>
      </c>
      <c r="B50" s="12" t="s">
        <v>17</v>
      </c>
      <c r="C50" s="12" t="s">
        <v>542</v>
      </c>
      <c r="D50" s="12" t="s">
        <v>543</v>
      </c>
      <c r="E50" s="12" t="e">
        <f>VLOOKUP(C50, Continent!A:B, 2, FALSE)</f>
        <v>#N/A</v>
      </c>
      <c r="F50" s="19">
        <f>((Table1[[#This Row],[2024 '[YR2024']]]-Table1[[#This Row],[1990 '[YR1990']]])/Table1[[#This Row],[1990 '[YR1990']]])*100</f>
        <v>-19.070500744342912</v>
      </c>
      <c r="G50" s="19">
        <f>((Table1[[#This Row],[2024 '[YR2024']]] / Table1[[#This Row],[1990 '[YR1990']]]) ^ (1 / (2024 - 1990)) - 1) * 100</f>
        <v>-0.62039633893330448</v>
      </c>
      <c r="H50" s="12">
        <v>5299246757</v>
      </c>
      <c r="I50" s="12">
        <v>6161884811</v>
      </c>
      <c r="J50" s="12">
        <v>7441826877</v>
      </c>
      <c r="K50" s="12">
        <v>7529066617</v>
      </c>
      <c r="L50" s="12">
        <v>7614748582</v>
      </c>
      <c r="M50" s="12">
        <v>7697492379</v>
      </c>
      <c r="N50" s="12">
        <v>7778303912</v>
      </c>
      <c r="O50" s="12">
        <v>7855075060</v>
      </c>
      <c r="P50" s="12">
        <v>7920861888</v>
      </c>
      <c r="Q50" s="12">
        <v>7990399768</v>
      </c>
      <c r="R50" s="12">
        <v>8064976601</v>
      </c>
      <c r="S50" s="16">
        <v>8142056446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19"/>
  <sheetViews>
    <sheetView workbookViewId="0">
      <selection activeCell="C187" sqref="C187"/>
    </sheetView>
  </sheetViews>
  <sheetFormatPr defaultRowHeight="14.5" x14ac:dyDescent="0.35"/>
  <cols>
    <col min="1" max="1" width="18.26953125" customWidth="1"/>
    <col min="2" max="2" width="14.1796875" customWidth="1"/>
  </cols>
  <sheetData>
    <row r="1" spans="1:2" ht="29" x14ac:dyDescent="0.35">
      <c r="A1" s="8" t="s">
        <v>2</v>
      </c>
      <c r="B1" s="8" t="s">
        <v>546</v>
      </c>
    </row>
    <row r="2" spans="1:2" ht="29" x14ac:dyDescent="0.35">
      <c r="A2" s="9" t="s">
        <v>18</v>
      </c>
      <c r="B2" s="9" t="s">
        <v>547</v>
      </c>
    </row>
    <row r="3" spans="1:2" x14ac:dyDescent="0.35">
      <c r="A3" s="9" t="s">
        <v>20</v>
      </c>
      <c r="B3" s="9" t="s">
        <v>548</v>
      </c>
    </row>
    <row r="4" spans="1:2" x14ac:dyDescent="0.35">
      <c r="A4" s="9" t="s">
        <v>22</v>
      </c>
      <c r="B4" s="9" t="s">
        <v>549</v>
      </c>
    </row>
    <row r="5" spans="1:2" s="5" customFormat="1" x14ac:dyDescent="0.35">
      <c r="A5" s="5" t="s">
        <v>24</v>
      </c>
      <c r="B5" s="5" t="s">
        <v>551</v>
      </c>
    </row>
    <row r="6" spans="1:2" x14ac:dyDescent="0.35">
      <c r="A6" s="9" t="s">
        <v>26</v>
      </c>
      <c r="B6" s="9" t="s">
        <v>548</v>
      </c>
    </row>
    <row r="7" spans="1:2" x14ac:dyDescent="0.35">
      <c r="A7" s="9" t="s">
        <v>28</v>
      </c>
      <c r="B7" s="9" t="s">
        <v>549</v>
      </c>
    </row>
    <row r="8" spans="1:2" ht="27.5" customHeight="1" x14ac:dyDescent="0.35">
      <c r="A8" s="9" t="s">
        <v>30</v>
      </c>
      <c r="B8" s="9" t="s">
        <v>513</v>
      </c>
    </row>
    <row r="9" spans="1:2" x14ac:dyDescent="0.35">
      <c r="A9" s="9" t="s">
        <v>32</v>
      </c>
      <c r="B9" s="9" t="s">
        <v>550</v>
      </c>
    </row>
    <row r="10" spans="1:2" x14ac:dyDescent="0.35">
      <c r="A10" s="9" t="s">
        <v>34</v>
      </c>
      <c r="B10" s="9" t="s">
        <v>547</v>
      </c>
    </row>
    <row r="11" spans="1:2" x14ac:dyDescent="0.35">
      <c r="A11" s="9" t="s">
        <v>36</v>
      </c>
      <c r="B11" s="9" t="s">
        <v>513</v>
      </c>
    </row>
    <row r="12" spans="1:2" x14ac:dyDescent="0.35">
      <c r="A12" s="9" t="s">
        <v>38</v>
      </c>
      <c r="B12" s="9" t="s">
        <v>551</v>
      </c>
    </row>
    <row r="13" spans="1:2" x14ac:dyDescent="0.35">
      <c r="A13" s="9" t="s">
        <v>40</v>
      </c>
      <c r="B13" s="9" t="s">
        <v>548</v>
      </c>
    </row>
    <row r="14" spans="1:2" x14ac:dyDescent="0.35">
      <c r="A14" s="9" t="s">
        <v>42</v>
      </c>
      <c r="B14" s="9" t="s">
        <v>547</v>
      </c>
    </row>
    <row r="15" spans="1:2" x14ac:dyDescent="0.35">
      <c r="A15" s="9" t="s">
        <v>552</v>
      </c>
      <c r="B15" s="9" t="s">
        <v>513</v>
      </c>
    </row>
    <row r="16" spans="1:2" x14ac:dyDescent="0.35">
      <c r="A16" s="9" t="s">
        <v>45</v>
      </c>
      <c r="B16" s="9" t="s">
        <v>547</v>
      </c>
    </row>
    <row r="17" spans="1:2" x14ac:dyDescent="0.35">
      <c r="A17" s="9" t="s">
        <v>47</v>
      </c>
      <c r="B17" s="9" t="s">
        <v>547</v>
      </c>
    </row>
    <row r="18" spans="1:2" x14ac:dyDescent="0.35">
      <c r="A18" s="9" t="s">
        <v>49</v>
      </c>
      <c r="B18" s="9" t="s">
        <v>513</v>
      </c>
    </row>
    <row r="19" spans="1:2" x14ac:dyDescent="0.35">
      <c r="A19" s="9" t="s">
        <v>51</v>
      </c>
      <c r="B19" s="9" t="s">
        <v>548</v>
      </c>
    </row>
    <row r="20" spans="1:2" x14ac:dyDescent="0.35">
      <c r="A20" s="9" t="s">
        <v>53</v>
      </c>
      <c r="B20" s="9" t="s">
        <v>548</v>
      </c>
    </row>
    <row r="21" spans="1:2" x14ac:dyDescent="0.35">
      <c r="A21" s="9" t="s">
        <v>55</v>
      </c>
      <c r="B21" s="9" t="s">
        <v>513</v>
      </c>
    </row>
    <row r="22" spans="1:2" x14ac:dyDescent="0.35">
      <c r="A22" s="9" t="s">
        <v>57</v>
      </c>
      <c r="B22" s="9" t="s">
        <v>549</v>
      </c>
    </row>
    <row r="23" spans="1:2" x14ac:dyDescent="0.35">
      <c r="A23" s="9" t="s">
        <v>59</v>
      </c>
      <c r="B23" s="9" t="s">
        <v>513</v>
      </c>
    </row>
    <row r="24" spans="1:2" x14ac:dyDescent="0.35">
      <c r="A24" s="9" t="s">
        <v>61</v>
      </c>
      <c r="B24" s="9" t="s">
        <v>547</v>
      </c>
    </row>
    <row r="25" spans="1:2" x14ac:dyDescent="0.35">
      <c r="A25" s="9" t="s">
        <v>63</v>
      </c>
      <c r="B25" s="9" t="s">
        <v>550</v>
      </c>
    </row>
    <row r="26" spans="1:2" ht="29" x14ac:dyDescent="0.35">
      <c r="A26" s="9" t="s">
        <v>65</v>
      </c>
      <c r="B26" s="9" t="s">
        <v>548</v>
      </c>
    </row>
    <row r="27" spans="1:2" x14ac:dyDescent="0.35">
      <c r="A27" s="9" t="s">
        <v>67</v>
      </c>
      <c r="B27" s="9" t="s">
        <v>549</v>
      </c>
    </row>
    <row r="28" spans="1:2" x14ac:dyDescent="0.35">
      <c r="A28" s="9" t="s">
        <v>69</v>
      </c>
      <c r="B28" s="9" t="s">
        <v>550</v>
      </c>
    </row>
    <row r="29" spans="1:2" x14ac:dyDescent="0.35">
      <c r="A29" s="9" t="s">
        <v>71</v>
      </c>
      <c r="B29" s="9" t="s">
        <v>513</v>
      </c>
    </row>
    <row r="30" spans="1:2" x14ac:dyDescent="0.35">
      <c r="A30" s="9" t="s">
        <v>73</v>
      </c>
      <c r="B30" s="9" t="s">
        <v>547</v>
      </c>
    </row>
    <row r="31" spans="1:2" x14ac:dyDescent="0.35">
      <c r="A31" s="9" t="s">
        <v>75</v>
      </c>
      <c r="B31" s="9" t="s">
        <v>548</v>
      </c>
    </row>
    <row r="32" spans="1:2" x14ac:dyDescent="0.35">
      <c r="A32" s="9" t="s">
        <v>77</v>
      </c>
      <c r="B32" s="9" t="s">
        <v>549</v>
      </c>
    </row>
    <row r="33" spans="1:2" x14ac:dyDescent="0.35">
      <c r="A33" s="9" t="s">
        <v>79</v>
      </c>
      <c r="B33" s="9" t="s">
        <v>549</v>
      </c>
    </row>
    <row r="34" spans="1:2" x14ac:dyDescent="0.35">
      <c r="A34" s="9" t="s">
        <v>81</v>
      </c>
      <c r="B34" s="9" t="s">
        <v>549</v>
      </c>
    </row>
    <row r="35" spans="1:2" x14ac:dyDescent="0.35">
      <c r="A35" s="9" t="s">
        <v>83</v>
      </c>
      <c r="B35" s="9" t="s">
        <v>547</v>
      </c>
    </row>
    <row r="36" spans="1:2" x14ac:dyDescent="0.35">
      <c r="A36" s="9" t="s">
        <v>85</v>
      </c>
      <c r="B36" s="9" t="s">
        <v>549</v>
      </c>
    </row>
    <row r="37" spans="1:2" x14ac:dyDescent="0.35">
      <c r="A37" s="9" t="s">
        <v>87</v>
      </c>
      <c r="B37" s="9" t="s">
        <v>513</v>
      </c>
    </row>
    <row r="38" spans="1:2" x14ac:dyDescent="0.35">
      <c r="A38" s="9" t="s">
        <v>89</v>
      </c>
      <c r="B38" s="9" t="s">
        <v>513</v>
      </c>
    </row>
    <row r="39" spans="1:2" ht="29" x14ac:dyDescent="0.35">
      <c r="A39" s="9" t="s">
        <v>91</v>
      </c>
      <c r="B39" s="9" t="s">
        <v>549</v>
      </c>
    </row>
    <row r="40" spans="1:2" x14ac:dyDescent="0.35">
      <c r="A40" s="9" t="s">
        <v>93</v>
      </c>
      <c r="B40" s="9" t="s">
        <v>549</v>
      </c>
    </row>
    <row r="41" spans="1:2" x14ac:dyDescent="0.35">
      <c r="A41" s="9" t="s">
        <v>95</v>
      </c>
      <c r="B41" s="9" t="s">
        <v>548</v>
      </c>
    </row>
    <row r="42" spans="1:2" x14ac:dyDescent="0.35">
      <c r="A42" s="9" t="s">
        <v>97</v>
      </c>
      <c r="B42" s="9" t="s">
        <v>550</v>
      </c>
    </row>
    <row r="43" spans="1:2" x14ac:dyDescent="0.35">
      <c r="A43" s="9" t="s">
        <v>99</v>
      </c>
      <c r="B43" s="9" t="s">
        <v>547</v>
      </c>
    </row>
    <row r="44" spans="1:2" x14ac:dyDescent="0.35">
      <c r="A44" s="9" t="s">
        <v>101</v>
      </c>
      <c r="B44" s="9" t="s">
        <v>550</v>
      </c>
    </row>
    <row r="45" spans="1:2" x14ac:dyDescent="0.35">
      <c r="A45" s="9" t="s">
        <v>103</v>
      </c>
      <c r="B45" s="9" t="s">
        <v>549</v>
      </c>
    </row>
    <row r="46" spans="1:2" x14ac:dyDescent="0.35">
      <c r="A46" s="9" t="s">
        <v>105</v>
      </c>
      <c r="B46" s="9" t="s">
        <v>549</v>
      </c>
    </row>
    <row r="47" spans="1:2" x14ac:dyDescent="0.35">
      <c r="A47" s="9" t="s">
        <v>107</v>
      </c>
      <c r="B47" s="9" t="s">
        <v>549</v>
      </c>
    </row>
    <row r="48" spans="1:2" x14ac:dyDescent="0.35">
      <c r="A48" s="9" t="s">
        <v>109</v>
      </c>
      <c r="B48" s="9" t="s">
        <v>513</v>
      </c>
    </row>
    <row r="49" spans="1:2" x14ac:dyDescent="0.35">
      <c r="A49" s="9" t="s">
        <v>553</v>
      </c>
      <c r="B49" s="9" t="s">
        <v>549</v>
      </c>
    </row>
    <row r="50" spans="1:2" x14ac:dyDescent="0.35">
      <c r="A50" s="9" t="s">
        <v>112</v>
      </c>
      <c r="B50" s="9" t="s">
        <v>548</v>
      </c>
    </row>
    <row r="51" spans="1:2" x14ac:dyDescent="0.35">
      <c r="A51" s="9" t="s">
        <v>114</v>
      </c>
      <c r="B51" s="9" t="s">
        <v>513</v>
      </c>
    </row>
    <row r="52" spans="1:2" x14ac:dyDescent="0.35">
      <c r="A52" s="9" t="s">
        <v>116</v>
      </c>
      <c r="B52" s="9" t="s">
        <v>513</v>
      </c>
    </row>
    <row r="53" spans="1:2" x14ac:dyDescent="0.35">
      <c r="A53" s="9" t="s">
        <v>118</v>
      </c>
      <c r="B53" s="9" t="s">
        <v>547</v>
      </c>
    </row>
    <row r="54" spans="1:2" x14ac:dyDescent="0.35">
      <c r="A54" s="9" t="s">
        <v>120</v>
      </c>
      <c r="B54" s="9" t="s">
        <v>548</v>
      </c>
    </row>
    <row r="55" spans="1:2" x14ac:dyDescent="0.35">
      <c r="A55" s="9" t="s">
        <v>122</v>
      </c>
      <c r="B55" s="9" t="s">
        <v>548</v>
      </c>
    </row>
    <row r="56" spans="1:2" x14ac:dyDescent="0.35">
      <c r="A56" s="9" t="s">
        <v>124</v>
      </c>
      <c r="B56" s="9" t="s">
        <v>549</v>
      </c>
    </row>
    <row r="57" spans="1:2" x14ac:dyDescent="0.35">
      <c r="A57" s="9" t="s">
        <v>126</v>
      </c>
      <c r="B57" s="9" t="s">
        <v>513</v>
      </c>
    </row>
    <row r="58" spans="1:2" x14ac:dyDescent="0.35">
      <c r="A58" s="9" t="s">
        <v>128</v>
      </c>
      <c r="B58" s="9" t="s">
        <v>513</v>
      </c>
    </row>
    <row r="59" spans="1:2" x14ac:dyDescent="0.35">
      <c r="A59" s="9" t="s">
        <v>130</v>
      </c>
      <c r="B59" s="9" t="s">
        <v>550</v>
      </c>
    </row>
    <row r="60" spans="1:2" x14ac:dyDescent="0.35">
      <c r="A60" s="9" t="s">
        <v>554</v>
      </c>
      <c r="B60" s="9" t="s">
        <v>549</v>
      </c>
    </row>
    <row r="61" spans="1:2" x14ac:dyDescent="0.35">
      <c r="A61" s="9" t="s">
        <v>133</v>
      </c>
      <c r="B61" s="9" t="s">
        <v>513</v>
      </c>
    </row>
    <row r="62" spans="1:2" x14ac:dyDescent="0.35">
      <c r="A62" s="9" t="s">
        <v>135</v>
      </c>
      <c r="B62" s="9" t="s">
        <v>549</v>
      </c>
    </row>
    <row r="63" spans="1:2" x14ac:dyDescent="0.35">
      <c r="A63" s="9" t="s">
        <v>137</v>
      </c>
      <c r="B63" s="9" t="s">
        <v>549</v>
      </c>
    </row>
    <row r="64" spans="1:2" x14ac:dyDescent="0.35">
      <c r="A64" s="9" t="s">
        <v>139</v>
      </c>
      <c r="B64" s="9" t="s">
        <v>548</v>
      </c>
    </row>
    <row r="65" spans="1:2" x14ac:dyDescent="0.35">
      <c r="A65" s="9" t="s">
        <v>141</v>
      </c>
      <c r="B65" s="9" t="s">
        <v>549</v>
      </c>
    </row>
    <row r="66" spans="1:2" x14ac:dyDescent="0.35">
      <c r="A66" s="9" t="s">
        <v>143</v>
      </c>
      <c r="B66" s="9" t="s">
        <v>549</v>
      </c>
    </row>
    <row r="67" spans="1:2" x14ac:dyDescent="0.35">
      <c r="A67" s="9" t="s">
        <v>145</v>
      </c>
      <c r="B67" s="9" t="s">
        <v>548</v>
      </c>
    </row>
    <row r="68" spans="1:2" x14ac:dyDescent="0.35">
      <c r="A68" s="9" t="s">
        <v>147</v>
      </c>
      <c r="B68" s="9" t="s">
        <v>551</v>
      </c>
    </row>
    <row r="69" spans="1:2" x14ac:dyDescent="0.35">
      <c r="A69" s="9" t="s">
        <v>149</v>
      </c>
      <c r="B69" s="9" t="s">
        <v>548</v>
      </c>
    </row>
    <row r="70" spans="1:2" x14ac:dyDescent="0.35">
      <c r="A70" s="9" t="s">
        <v>151</v>
      </c>
      <c r="B70" s="9" t="s">
        <v>548</v>
      </c>
    </row>
    <row r="71" spans="1:2" x14ac:dyDescent="0.35">
      <c r="A71" s="9" t="s">
        <v>153</v>
      </c>
      <c r="B71" s="9" t="s">
        <v>551</v>
      </c>
    </row>
    <row r="72" spans="1:2" x14ac:dyDescent="0.35">
      <c r="A72" s="9" t="s">
        <v>155</v>
      </c>
      <c r="B72" s="9" t="s">
        <v>549</v>
      </c>
    </row>
    <row r="73" spans="1:2" x14ac:dyDescent="0.35">
      <c r="A73" s="9" t="s">
        <v>555</v>
      </c>
      <c r="B73" s="9" t="s">
        <v>549</v>
      </c>
    </row>
    <row r="74" spans="1:2" x14ac:dyDescent="0.35">
      <c r="A74" s="9" t="s">
        <v>158</v>
      </c>
      <c r="B74" s="9" t="s">
        <v>547</v>
      </c>
    </row>
    <row r="75" spans="1:2" x14ac:dyDescent="0.35">
      <c r="A75" s="9" t="s">
        <v>160</v>
      </c>
      <c r="B75" s="9" t="s">
        <v>548</v>
      </c>
    </row>
    <row r="76" spans="1:2" x14ac:dyDescent="0.35">
      <c r="A76" s="9" t="s">
        <v>162</v>
      </c>
      <c r="B76" s="9" t="s">
        <v>549</v>
      </c>
    </row>
    <row r="77" spans="1:2" x14ac:dyDescent="0.35">
      <c r="A77" s="9" t="s">
        <v>164</v>
      </c>
      <c r="B77" s="9" t="s">
        <v>548</v>
      </c>
    </row>
    <row r="78" spans="1:2" x14ac:dyDescent="0.35">
      <c r="A78" s="9" t="s">
        <v>166</v>
      </c>
      <c r="B78" s="9" t="s">
        <v>548</v>
      </c>
    </row>
    <row r="79" spans="1:2" x14ac:dyDescent="0.35">
      <c r="A79" s="9" t="s">
        <v>168</v>
      </c>
      <c r="B79" s="9" t="s">
        <v>513</v>
      </c>
    </row>
    <row r="80" spans="1:2" x14ac:dyDescent="0.35">
      <c r="A80" s="9" t="s">
        <v>170</v>
      </c>
      <c r="B80" s="9" t="s">
        <v>513</v>
      </c>
    </row>
    <row r="81" spans="1:2" x14ac:dyDescent="0.35">
      <c r="A81" s="9" t="s">
        <v>172</v>
      </c>
      <c r="B81" s="9" t="s">
        <v>551</v>
      </c>
    </row>
    <row r="82" spans="1:2" x14ac:dyDescent="0.35">
      <c r="A82" s="9" t="s">
        <v>174</v>
      </c>
      <c r="B82" s="9" t="s">
        <v>513</v>
      </c>
    </row>
    <row r="83" spans="1:2" x14ac:dyDescent="0.35">
      <c r="A83" s="9" t="s">
        <v>176</v>
      </c>
      <c r="B83" s="9" t="s">
        <v>549</v>
      </c>
    </row>
    <row r="84" spans="1:2" x14ac:dyDescent="0.35">
      <c r="A84" s="9" t="s">
        <v>178</v>
      </c>
      <c r="B84" s="9" t="s">
        <v>549</v>
      </c>
    </row>
    <row r="85" spans="1:2" x14ac:dyDescent="0.35">
      <c r="A85" s="9" t="s">
        <v>180</v>
      </c>
      <c r="B85" s="9" t="s">
        <v>550</v>
      </c>
    </row>
    <row r="86" spans="1:2" x14ac:dyDescent="0.35">
      <c r="A86" s="9" t="s">
        <v>182</v>
      </c>
      <c r="B86" s="9" t="s">
        <v>513</v>
      </c>
    </row>
    <row r="87" spans="1:2" x14ac:dyDescent="0.35">
      <c r="A87" s="9" t="s">
        <v>184</v>
      </c>
      <c r="B87" s="9" t="s">
        <v>513</v>
      </c>
    </row>
    <row r="88" spans="1:2" ht="29" x14ac:dyDescent="0.35">
      <c r="A88" s="9" t="s">
        <v>186</v>
      </c>
      <c r="B88" s="9" t="s">
        <v>547</v>
      </c>
    </row>
    <row r="89" spans="1:2" x14ac:dyDescent="0.35">
      <c r="A89" s="9" t="s">
        <v>188</v>
      </c>
      <c r="B89" s="9" t="s">
        <v>548</v>
      </c>
    </row>
    <row r="90" spans="1:2" x14ac:dyDescent="0.35">
      <c r="A90" s="9" t="s">
        <v>190</v>
      </c>
      <c r="B90" s="9" t="s">
        <v>548</v>
      </c>
    </row>
    <row r="91" spans="1:2" x14ac:dyDescent="0.35">
      <c r="A91" s="9" t="s">
        <v>192</v>
      </c>
      <c r="B91" s="9" t="s">
        <v>547</v>
      </c>
    </row>
    <row r="92" spans="1:2" x14ac:dyDescent="0.35">
      <c r="A92" s="9" t="s">
        <v>194</v>
      </c>
      <c r="B92" s="9" t="s">
        <v>547</v>
      </c>
    </row>
    <row r="93" spans="1:2" x14ac:dyDescent="0.35">
      <c r="A93" s="9" t="s">
        <v>556</v>
      </c>
      <c r="B93" s="9" t="s">
        <v>547</v>
      </c>
    </row>
    <row r="94" spans="1:2" x14ac:dyDescent="0.35">
      <c r="A94" s="9" t="s">
        <v>197</v>
      </c>
      <c r="B94" s="9" t="s">
        <v>547</v>
      </c>
    </row>
    <row r="95" spans="1:2" x14ac:dyDescent="0.35">
      <c r="A95" s="9" t="s">
        <v>199</v>
      </c>
      <c r="B95" s="9" t="s">
        <v>548</v>
      </c>
    </row>
    <row r="96" spans="1:2" x14ac:dyDescent="0.35">
      <c r="A96" s="9" t="s">
        <v>201</v>
      </c>
      <c r="B96" s="9" t="s">
        <v>548</v>
      </c>
    </row>
    <row r="97" spans="1:2" x14ac:dyDescent="0.35">
      <c r="A97" s="9" t="s">
        <v>203</v>
      </c>
      <c r="B97" s="9" t="s">
        <v>547</v>
      </c>
    </row>
    <row r="98" spans="1:2" x14ac:dyDescent="0.35">
      <c r="A98" s="9" t="s">
        <v>205</v>
      </c>
      <c r="B98" s="9" t="s">
        <v>548</v>
      </c>
    </row>
    <row r="99" spans="1:2" x14ac:dyDescent="0.35">
      <c r="A99" s="9" t="s">
        <v>207</v>
      </c>
      <c r="B99" s="9" t="s">
        <v>513</v>
      </c>
    </row>
    <row r="100" spans="1:2" x14ac:dyDescent="0.35">
      <c r="A100" s="9" t="s">
        <v>209</v>
      </c>
      <c r="B100" s="9" t="s">
        <v>547</v>
      </c>
    </row>
    <row r="101" spans="1:2" x14ac:dyDescent="0.35">
      <c r="A101" s="9" t="s">
        <v>211</v>
      </c>
      <c r="B101" s="9" t="s">
        <v>547</v>
      </c>
    </row>
    <row r="102" spans="1:2" x14ac:dyDescent="0.35">
      <c r="A102" s="9" t="s">
        <v>213</v>
      </c>
      <c r="B102" s="9" t="s">
        <v>547</v>
      </c>
    </row>
    <row r="103" spans="1:2" x14ac:dyDescent="0.35">
      <c r="A103" s="9" t="s">
        <v>215</v>
      </c>
      <c r="B103" s="9" t="s">
        <v>549</v>
      </c>
    </row>
    <row r="104" spans="1:2" x14ac:dyDescent="0.35">
      <c r="A104" s="9" t="s">
        <v>217</v>
      </c>
      <c r="B104" s="9" t="s">
        <v>551</v>
      </c>
    </row>
    <row r="105" spans="1:2" ht="29" x14ac:dyDescent="0.35">
      <c r="A105" s="9" t="s">
        <v>219</v>
      </c>
      <c r="B105" s="9" t="s">
        <v>547</v>
      </c>
    </row>
    <row r="106" spans="1:2" x14ac:dyDescent="0.35">
      <c r="A106" s="9" t="s">
        <v>221</v>
      </c>
      <c r="B106" s="9" t="s">
        <v>547</v>
      </c>
    </row>
    <row r="107" spans="1:2" x14ac:dyDescent="0.35">
      <c r="A107" s="9" t="s">
        <v>223</v>
      </c>
      <c r="B107" s="9" t="s">
        <v>548</v>
      </c>
    </row>
    <row r="108" spans="1:2" x14ac:dyDescent="0.35">
      <c r="A108" s="9" t="s">
        <v>225</v>
      </c>
      <c r="B108" s="9" t="s">
        <v>547</v>
      </c>
    </row>
    <row r="109" spans="1:2" x14ac:dyDescent="0.35">
      <c r="A109" s="9" t="s">
        <v>227</v>
      </c>
      <c r="B109" s="9" t="s">
        <v>547</v>
      </c>
    </row>
    <row r="110" spans="1:2" x14ac:dyDescent="0.35">
      <c r="A110" s="9" t="s">
        <v>229</v>
      </c>
      <c r="B110" s="9" t="s">
        <v>547</v>
      </c>
    </row>
    <row r="111" spans="1:2" x14ac:dyDescent="0.35">
      <c r="A111" s="9" t="s">
        <v>231</v>
      </c>
      <c r="B111" s="9" t="s">
        <v>548</v>
      </c>
    </row>
    <row r="112" spans="1:2" x14ac:dyDescent="0.35">
      <c r="A112" s="9" t="s">
        <v>233</v>
      </c>
      <c r="B112" s="9" t="s">
        <v>547</v>
      </c>
    </row>
    <row r="113" spans="1:2" x14ac:dyDescent="0.35">
      <c r="A113" s="9" t="s">
        <v>235</v>
      </c>
      <c r="B113" s="9" t="s">
        <v>549</v>
      </c>
    </row>
    <row r="114" spans="1:2" x14ac:dyDescent="0.35">
      <c r="A114" s="9" t="s">
        <v>237</v>
      </c>
      <c r="B114" s="9" t="s">
        <v>549</v>
      </c>
    </row>
    <row r="115" spans="1:2" x14ac:dyDescent="0.35">
      <c r="A115" s="9" t="s">
        <v>239</v>
      </c>
      <c r="B115" s="9" t="s">
        <v>549</v>
      </c>
    </row>
    <row r="116" spans="1:2" x14ac:dyDescent="0.35">
      <c r="A116" s="9" t="s">
        <v>241</v>
      </c>
      <c r="B116" s="9" t="s">
        <v>548</v>
      </c>
    </row>
    <row r="117" spans="1:2" x14ac:dyDescent="0.35">
      <c r="A117" s="9" t="s">
        <v>243</v>
      </c>
      <c r="B117" s="9" t="s">
        <v>548</v>
      </c>
    </row>
    <row r="118" spans="1:2" x14ac:dyDescent="0.35">
      <c r="A118" s="9" t="s">
        <v>245</v>
      </c>
      <c r="B118" s="9" t="s">
        <v>548</v>
      </c>
    </row>
    <row r="119" spans="1:2" x14ac:dyDescent="0.35">
      <c r="A119" s="9" t="s">
        <v>247</v>
      </c>
      <c r="B119" s="9" t="s">
        <v>547</v>
      </c>
    </row>
    <row r="120" spans="1:2" x14ac:dyDescent="0.35">
      <c r="A120" s="9" t="s">
        <v>249</v>
      </c>
      <c r="B120" s="9" t="s">
        <v>549</v>
      </c>
    </row>
    <row r="121" spans="1:2" x14ac:dyDescent="0.35">
      <c r="A121" s="9" t="s">
        <v>251</v>
      </c>
      <c r="B121" s="9" t="s">
        <v>549</v>
      </c>
    </row>
    <row r="122" spans="1:2" x14ac:dyDescent="0.35">
      <c r="A122" s="9" t="s">
        <v>253</v>
      </c>
      <c r="B122" s="9" t="s">
        <v>547</v>
      </c>
    </row>
    <row r="123" spans="1:2" x14ac:dyDescent="0.35">
      <c r="A123" s="9" t="s">
        <v>255</v>
      </c>
      <c r="B123" s="9" t="s">
        <v>547</v>
      </c>
    </row>
    <row r="124" spans="1:2" x14ac:dyDescent="0.35">
      <c r="A124" s="9" t="s">
        <v>257</v>
      </c>
      <c r="B124" s="9" t="s">
        <v>549</v>
      </c>
    </row>
    <row r="125" spans="1:2" x14ac:dyDescent="0.35">
      <c r="A125" s="9" t="s">
        <v>259</v>
      </c>
      <c r="B125" s="9" t="s">
        <v>548</v>
      </c>
    </row>
    <row r="126" spans="1:2" x14ac:dyDescent="0.35">
      <c r="A126" s="9" t="s">
        <v>261</v>
      </c>
      <c r="B126" s="9" t="s">
        <v>551</v>
      </c>
    </row>
    <row r="127" spans="1:2" x14ac:dyDescent="0.35">
      <c r="A127" s="9" t="s">
        <v>263</v>
      </c>
      <c r="B127" s="9" t="s">
        <v>549</v>
      </c>
    </row>
    <row r="128" spans="1:2" x14ac:dyDescent="0.35">
      <c r="A128" s="9" t="s">
        <v>265</v>
      </c>
      <c r="B128" s="9" t="s">
        <v>549</v>
      </c>
    </row>
    <row r="129" spans="1:2" x14ac:dyDescent="0.35">
      <c r="A129" s="9" t="s">
        <v>267</v>
      </c>
      <c r="B129" s="9" t="s">
        <v>513</v>
      </c>
    </row>
    <row r="130" spans="1:2" x14ac:dyDescent="0.35">
      <c r="A130" s="9" t="s">
        <v>269</v>
      </c>
      <c r="B130" s="9" t="s">
        <v>551</v>
      </c>
    </row>
    <row r="131" spans="1:2" x14ac:dyDescent="0.35">
      <c r="A131" s="9" t="s">
        <v>557</v>
      </c>
      <c r="B131" s="9" t="s">
        <v>551</v>
      </c>
    </row>
    <row r="132" spans="1:2" x14ac:dyDescent="0.35">
      <c r="A132" s="9" t="s">
        <v>271</v>
      </c>
      <c r="B132" s="9" t="s">
        <v>548</v>
      </c>
    </row>
    <row r="133" spans="1:2" x14ac:dyDescent="0.35">
      <c r="A133" s="9" t="s">
        <v>273</v>
      </c>
      <c r="B133" s="9" t="s">
        <v>548</v>
      </c>
    </row>
    <row r="134" spans="1:2" x14ac:dyDescent="0.35">
      <c r="A134" s="9" t="s">
        <v>275</v>
      </c>
      <c r="B134" s="9" t="s">
        <v>547</v>
      </c>
    </row>
    <row r="135" spans="1:2" x14ac:dyDescent="0.35">
      <c r="A135" s="9" t="s">
        <v>277</v>
      </c>
      <c r="B135" s="9" t="s">
        <v>548</v>
      </c>
    </row>
    <row r="136" spans="1:2" x14ac:dyDescent="0.35">
      <c r="A136" s="9" t="s">
        <v>279</v>
      </c>
      <c r="B136" s="9" t="s">
        <v>549</v>
      </c>
    </row>
    <row r="137" spans="1:2" x14ac:dyDescent="0.35">
      <c r="A137" s="9" t="s">
        <v>281</v>
      </c>
      <c r="B137" s="9" t="s">
        <v>549</v>
      </c>
    </row>
    <row r="138" spans="1:2" x14ac:dyDescent="0.35">
      <c r="A138" s="9" t="s">
        <v>283</v>
      </c>
      <c r="B138" s="9" t="s">
        <v>547</v>
      </c>
    </row>
    <row r="139" spans="1:2" x14ac:dyDescent="0.35">
      <c r="A139" s="9" t="s">
        <v>285</v>
      </c>
      <c r="B139" s="9" t="s">
        <v>549</v>
      </c>
    </row>
    <row r="140" spans="1:2" x14ac:dyDescent="0.35">
      <c r="A140" s="9" t="s">
        <v>287</v>
      </c>
      <c r="B140" s="9" t="s">
        <v>551</v>
      </c>
    </row>
    <row r="141" spans="1:2" x14ac:dyDescent="0.35">
      <c r="A141" s="9" t="s">
        <v>289</v>
      </c>
      <c r="B141" s="9" t="s">
        <v>547</v>
      </c>
    </row>
    <row r="142" spans="1:2" x14ac:dyDescent="0.35">
      <c r="A142" s="9" t="s">
        <v>291</v>
      </c>
      <c r="B142" s="9" t="s">
        <v>548</v>
      </c>
    </row>
    <row r="143" spans="1:2" x14ac:dyDescent="0.35">
      <c r="A143" s="9" t="s">
        <v>293</v>
      </c>
      <c r="B143" s="9" t="s">
        <v>551</v>
      </c>
    </row>
    <row r="144" spans="1:2" x14ac:dyDescent="0.35">
      <c r="A144" s="9" t="s">
        <v>295</v>
      </c>
      <c r="B144" s="9" t="s">
        <v>551</v>
      </c>
    </row>
    <row r="145" spans="1:2" x14ac:dyDescent="0.35">
      <c r="A145" s="9" t="s">
        <v>297</v>
      </c>
      <c r="B145" s="9" t="s">
        <v>513</v>
      </c>
    </row>
    <row r="146" spans="1:2" x14ac:dyDescent="0.35">
      <c r="A146" s="9" t="s">
        <v>299</v>
      </c>
      <c r="B146" s="9" t="s">
        <v>549</v>
      </c>
    </row>
    <row r="147" spans="1:2" x14ac:dyDescent="0.35">
      <c r="A147" s="9" t="s">
        <v>301</v>
      </c>
      <c r="B147" s="9" t="s">
        <v>549</v>
      </c>
    </row>
    <row r="148" spans="1:2" x14ac:dyDescent="0.35">
      <c r="A148" s="9" t="s">
        <v>303</v>
      </c>
      <c r="B148" s="9" t="s">
        <v>548</v>
      </c>
    </row>
    <row r="149" spans="1:2" ht="29" x14ac:dyDescent="0.35">
      <c r="A149" s="9" t="s">
        <v>305</v>
      </c>
      <c r="B149" s="9" t="s">
        <v>551</v>
      </c>
    </row>
    <row r="150" spans="1:2" x14ac:dyDescent="0.35">
      <c r="A150" s="9" t="s">
        <v>307</v>
      </c>
      <c r="B150" s="9" t="s">
        <v>548</v>
      </c>
    </row>
    <row r="151" spans="1:2" x14ac:dyDescent="0.35">
      <c r="A151" s="9" t="s">
        <v>309</v>
      </c>
      <c r="B151" s="9" t="s">
        <v>547</v>
      </c>
    </row>
    <row r="152" spans="1:2" x14ac:dyDescent="0.35">
      <c r="A152" s="9" t="s">
        <v>311</v>
      </c>
      <c r="B152" s="9" t="s">
        <v>547</v>
      </c>
    </row>
    <row r="153" spans="1:2" x14ac:dyDescent="0.35">
      <c r="A153" s="9" t="s">
        <v>313</v>
      </c>
      <c r="B153" s="9" t="s">
        <v>551</v>
      </c>
    </row>
    <row r="154" spans="1:2" x14ac:dyDescent="0.35">
      <c r="A154" s="9" t="s">
        <v>315</v>
      </c>
      <c r="B154" s="9" t="s">
        <v>513</v>
      </c>
    </row>
    <row r="155" spans="1:2" x14ac:dyDescent="0.35">
      <c r="A155" s="9" t="s">
        <v>317</v>
      </c>
      <c r="B155" s="9" t="s">
        <v>551</v>
      </c>
    </row>
    <row r="156" spans="1:2" x14ac:dyDescent="0.35">
      <c r="A156" s="9" t="s">
        <v>319</v>
      </c>
      <c r="B156" s="9" t="s">
        <v>550</v>
      </c>
    </row>
    <row r="157" spans="1:2" x14ac:dyDescent="0.35">
      <c r="A157" s="9" t="s">
        <v>321</v>
      </c>
      <c r="B157" s="9" t="s">
        <v>550</v>
      </c>
    </row>
    <row r="158" spans="1:2" x14ac:dyDescent="0.35">
      <c r="A158" s="9" t="s">
        <v>323</v>
      </c>
      <c r="B158" s="9" t="s">
        <v>547</v>
      </c>
    </row>
    <row r="159" spans="1:2" x14ac:dyDescent="0.35">
      <c r="A159" s="9" t="s">
        <v>325</v>
      </c>
      <c r="B159" s="9" t="s">
        <v>548</v>
      </c>
    </row>
    <row r="160" spans="1:2" x14ac:dyDescent="0.35">
      <c r="A160" s="9" t="s">
        <v>327</v>
      </c>
      <c r="B160" s="9" t="s">
        <v>548</v>
      </c>
    </row>
    <row r="161" spans="1:2" x14ac:dyDescent="0.35">
      <c r="A161" s="9" t="s">
        <v>329</v>
      </c>
      <c r="B161" s="9" t="s">
        <v>513</v>
      </c>
    </row>
    <row r="162" spans="1:2" x14ac:dyDescent="0.35">
      <c r="A162" s="9" t="s">
        <v>331</v>
      </c>
      <c r="B162" s="9" t="s">
        <v>547</v>
      </c>
    </row>
    <row r="163" spans="1:2" x14ac:dyDescent="0.35">
      <c r="A163" s="9" t="s">
        <v>333</v>
      </c>
      <c r="B163" s="9" t="s">
        <v>548</v>
      </c>
    </row>
    <row r="164" spans="1:2" x14ac:dyDescent="0.35">
      <c r="A164" s="9" t="s">
        <v>335</v>
      </c>
      <c r="B164" s="9" t="s">
        <v>548</v>
      </c>
    </row>
    <row r="165" spans="1:2" x14ac:dyDescent="0.35">
      <c r="A165" s="9" t="s">
        <v>337</v>
      </c>
      <c r="B165" s="9" t="s">
        <v>549</v>
      </c>
    </row>
    <row r="166" spans="1:2" x14ac:dyDescent="0.35">
      <c r="A166" s="9" t="s">
        <v>339</v>
      </c>
      <c r="B166" s="9" t="s">
        <v>551</v>
      </c>
    </row>
    <row r="167" spans="1:2" x14ac:dyDescent="0.35">
      <c r="A167" s="9" t="s">
        <v>341</v>
      </c>
      <c r="B167" s="9" t="s">
        <v>548</v>
      </c>
    </row>
    <row r="168" spans="1:2" ht="29" x14ac:dyDescent="0.35">
      <c r="A168" s="9" t="s">
        <v>343</v>
      </c>
      <c r="B168" s="9" t="s">
        <v>549</v>
      </c>
    </row>
    <row r="169" spans="1:2" x14ac:dyDescent="0.35">
      <c r="A169" s="9" t="s">
        <v>345</v>
      </c>
      <c r="B169" s="9" t="s">
        <v>547</v>
      </c>
    </row>
    <row r="170" spans="1:2" x14ac:dyDescent="0.35">
      <c r="A170" s="9" t="s">
        <v>347</v>
      </c>
      <c r="B170" s="9" t="s">
        <v>549</v>
      </c>
    </row>
    <row r="171" spans="1:2" x14ac:dyDescent="0.35">
      <c r="A171" s="9" t="s">
        <v>349</v>
      </c>
      <c r="B171" s="9" t="s">
        <v>548</v>
      </c>
    </row>
    <row r="172" spans="1:2" x14ac:dyDescent="0.35">
      <c r="A172" s="9" t="s">
        <v>351</v>
      </c>
      <c r="B172" s="9" t="s">
        <v>549</v>
      </c>
    </row>
    <row r="173" spans="1:2" x14ac:dyDescent="0.35">
      <c r="A173" s="9" t="s">
        <v>353</v>
      </c>
      <c r="B173" s="9" t="s">
        <v>549</v>
      </c>
    </row>
    <row r="174" spans="1:2" x14ac:dyDescent="0.35">
      <c r="A174" s="9" t="s">
        <v>355</v>
      </c>
      <c r="B174" s="9" t="s">
        <v>547</v>
      </c>
    </row>
    <row r="175" spans="1:2" ht="29" x14ac:dyDescent="0.35">
      <c r="A175" s="9" t="s">
        <v>357</v>
      </c>
      <c r="B175" s="9" t="s">
        <v>513</v>
      </c>
    </row>
    <row r="176" spans="1:2" x14ac:dyDescent="0.35">
      <c r="A176" s="9" t="s">
        <v>359</v>
      </c>
      <c r="B176" s="9" t="s">
        <v>548</v>
      </c>
    </row>
    <row r="177" spans="1:2" x14ac:dyDescent="0.35">
      <c r="A177" s="9" t="s">
        <v>361</v>
      </c>
      <c r="B177" s="9" t="s">
        <v>548</v>
      </c>
    </row>
    <row r="178" spans="1:2" x14ac:dyDescent="0.35">
      <c r="A178" s="9" t="s">
        <v>363</v>
      </c>
      <c r="B178" s="9" t="s">
        <v>551</v>
      </c>
    </row>
    <row r="179" spans="1:2" x14ac:dyDescent="0.35">
      <c r="A179" s="9" t="s">
        <v>558</v>
      </c>
      <c r="B179" s="9" t="s">
        <v>549</v>
      </c>
    </row>
    <row r="180" spans="1:2" x14ac:dyDescent="0.35">
      <c r="A180" s="9" t="s">
        <v>366</v>
      </c>
      <c r="B180" s="9" t="s">
        <v>549</v>
      </c>
    </row>
    <row r="181" spans="1:2" x14ac:dyDescent="0.35">
      <c r="A181" s="9" t="s">
        <v>368</v>
      </c>
      <c r="B181" s="9" t="s">
        <v>549</v>
      </c>
    </row>
    <row r="182" spans="1:2" x14ac:dyDescent="0.35">
      <c r="A182" s="9" t="s">
        <v>370</v>
      </c>
      <c r="B182" s="9" t="s">
        <v>548</v>
      </c>
    </row>
    <row r="183" spans="1:2" x14ac:dyDescent="0.35">
      <c r="A183" s="9" t="s">
        <v>372</v>
      </c>
      <c r="B183" s="9" t="s">
        <v>547</v>
      </c>
    </row>
    <row r="184" spans="1:2" s="10" customFormat="1" x14ac:dyDescent="0.35">
      <c r="A184" s="10" t="s">
        <v>374</v>
      </c>
      <c r="B184" s="10" t="s">
        <v>513</v>
      </c>
    </row>
    <row r="185" spans="1:2" s="10" customFormat="1" x14ac:dyDescent="0.35">
      <c r="A185" s="10" t="s">
        <v>376</v>
      </c>
      <c r="B185" s="10" t="s">
        <v>513</v>
      </c>
    </row>
    <row r="186" spans="1:2" s="10" customFormat="1" x14ac:dyDescent="0.35">
      <c r="A186" s="10" t="s">
        <v>378</v>
      </c>
      <c r="B186" s="10" t="s">
        <v>513</v>
      </c>
    </row>
    <row r="187" spans="1:2" s="10" customFormat="1" x14ac:dyDescent="0.35">
      <c r="A187" s="10" t="s">
        <v>380</v>
      </c>
      <c r="B187" s="10" t="s">
        <v>513</v>
      </c>
    </row>
    <row r="188" spans="1:2" x14ac:dyDescent="0.35">
      <c r="A188" s="9" t="s">
        <v>382</v>
      </c>
      <c r="B188" s="9" t="s">
        <v>549</v>
      </c>
    </row>
    <row r="189" spans="1:2" x14ac:dyDescent="0.35">
      <c r="A189" s="9" t="s">
        <v>384</v>
      </c>
      <c r="B189" s="9" t="s">
        <v>550</v>
      </c>
    </row>
    <row r="190" spans="1:2" x14ac:dyDescent="0.35">
      <c r="A190" s="9" t="s">
        <v>386</v>
      </c>
      <c r="B190" s="9" t="s">
        <v>548</v>
      </c>
    </row>
    <row r="191" spans="1:2" x14ac:dyDescent="0.35">
      <c r="A191" s="9" t="s">
        <v>388</v>
      </c>
      <c r="B191" s="9" t="s">
        <v>548</v>
      </c>
    </row>
    <row r="192" spans="1:2" x14ac:dyDescent="0.35">
      <c r="A192" s="9" t="s">
        <v>390</v>
      </c>
      <c r="B192" s="9" t="s">
        <v>547</v>
      </c>
    </row>
    <row r="193" spans="1:2" x14ac:dyDescent="0.35">
      <c r="A193" s="9" t="s">
        <v>392</v>
      </c>
      <c r="B193" s="9" t="s">
        <v>547</v>
      </c>
    </row>
    <row r="194" spans="1:2" x14ac:dyDescent="0.35">
      <c r="A194" s="9" t="s">
        <v>394</v>
      </c>
      <c r="B194" s="9" t="s">
        <v>549</v>
      </c>
    </row>
    <row r="195" spans="1:2" x14ac:dyDescent="0.35">
      <c r="A195" s="9" t="s">
        <v>396</v>
      </c>
      <c r="B195" s="9" t="s">
        <v>547</v>
      </c>
    </row>
    <row r="196" spans="1:2" x14ac:dyDescent="0.35">
      <c r="A196" s="9" t="s">
        <v>398</v>
      </c>
      <c r="B196" s="9" t="s">
        <v>547</v>
      </c>
    </row>
    <row r="197" spans="1:2" x14ac:dyDescent="0.35">
      <c r="A197" s="9" t="s">
        <v>400</v>
      </c>
      <c r="B197" s="9" t="s">
        <v>549</v>
      </c>
    </row>
    <row r="198" spans="1:2" x14ac:dyDescent="0.35">
      <c r="A198" s="9" t="s">
        <v>402</v>
      </c>
      <c r="B198" s="9" t="s">
        <v>551</v>
      </c>
    </row>
    <row r="199" spans="1:2" x14ac:dyDescent="0.35">
      <c r="A199" s="9" t="s">
        <v>404</v>
      </c>
      <c r="B199" s="9" t="s">
        <v>513</v>
      </c>
    </row>
    <row r="200" spans="1:2" x14ac:dyDescent="0.35">
      <c r="A200" s="9" t="s">
        <v>406</v>
      </c>
      <c r="B200" s="9" t="s">
        <v>549</v>
      </c>
    </row>
    <row r="201" spans="1:2" x14ac:dyDescent="0.35">
      <c r="A201" s="9" t="s">
        <v>408</v>
      </c>
      <c r="B201" s="9" t="s">
        <v>547</v>
      </c>
    </row>
    <row r="202" spans="1:2" x14ac:dyDescent="0.35">
      <c r="A202" s="9" t="s">
        <v>410</v>
      </c>
      <c r="B202" s="9" t="s">
        <v>547</v>
      </c>
    </row>
    <row r="203" spans="1:2" ht="29" x14ac:dyDescent="0.35">
      <c r="A203" s="9" t="s">
        <v>412</v>
      </c>
      <c r="B203" s="9" t="s">
        <v>513</v>
      </c>
    </row>
    <row r="204" spans="1:2" x14ac:dyDescent="0.35">
      <c r="A204" s="9" t="s">
        <v>414</v>
      </c>
      <c r="B204" s="9" t="s">
        <v>551</v>
      </c>
    </row>
    <row r="205" spans="1:2" x14ac:dyDescent="0.35">
      <c r="A205" s="9" t="s">
        <v>416</v>
      </c>
      <c r="B205" s="9" t="s">
        <v>549</v>
      </c>
    </row>
    <row r="206" spans="1:2" x14ac:dyDescent="0.35">
      <c r="A206" s="9" t="s">
        <v>418</v>
      </c>
      <c r="B206" s="9" t="s">
        <v>548</v>
      </c>
    </row>
    <row r="207" spans="1:2" ht="29" x14ac:dyDescent="0.35">
      <c r="A207" s="9" t="s">
        <v>420</v>
      </c>
      <c r="B207" s="9" t="s">
        <v>547</v>
      </c>
    </row>
    <row r="208" spans="1:2" x14ac:dyDescent="0.35">
      <c r="A208" s="9" t="s">
        <v>422</v>
      </c>
      <c r="B208" s="9" t="s">
        <v>548</v>
      </c>
    </row>
    <row r="209" spans="1:2" x14ac:dyDescent="0.35">
      <c r="A209" s="9" t="s">
        <v>424</v>
      </c>
      <c r="B209" s="9" t="s">
        <v>513</v>
      </c>
    </row>
    <row r="210" spans="1:2" x14ac:dyDescent="0.35">
      <c r="A210" s="9" t="s">
        <v>426</v>
      </c>
      <c r="B210" s="9" t="s">
        <v>550</v>
      </c>
    </row>
    <row r="211" spans="1:2" x14ac:dyDescent="0.35">
      <c r="A211" s="9" t="s">
        <v>428</v>
      </c>
      <c r="B211" s="9" t="s">
        <v>547</v>
      </c>
    </row>
    <row r="212" spans="1:2" x14ac:dyDescent="0.35">
      <c r="A212" s="9" t="s">
        <v>430</v>
      </c>
      <c r="B212" s="9" t="s">
        <v>551</v>
      </c>
    </row>
    <row r="213" spans="1:2" x14ac:dyDescent="0.35">
      <c r="A213" s="9" t="s">
        <v>559</v>
      </c>
      <c r="B213" s="9" t="s">
        <v>550</v>
      </c>
    </row>
    <row r="214" spans="1:2" x14ac:dyDescent="0.35">
      <c r="A214" s="9" t="s">
        <v>433</v>
      </c>
      <c r="B214" s="9" t="s">
        <v>547</v>
      </c>
    </row>
    <row r="215" spans="1:2" x14ac:dyDescent="0.35">
      <c r="A215" s="9" t="s">
        <v>435</v>
      </c>
      <c r="B215" s="9" t="s">
        <v>513</v>
      </c>
    </row>
    <row r="216" spans="1:2" x14ac:dyDescent="0.35">
      <c r="A216" s="9" t="s">
        <v>437</v>
      </c>
      <c r="B216" s="9" t="s">
        <v>547</v>
      </c>
    </row>
    <row r="217" spans="1:2" x14ac:dyDescent="0.35">
      <c r="A217" s="9" t="s">
        <v>439</v>
      </c>
      <c r="B217" s="9" t="s">
        <v>547</v>
      </c>
    </row>
    <row r="218" spans="1:2" x14ac:dyDescent="0.35">
      <c r="A218" s="9" t="s">
        <v>441</v>
      </c>
      <c r="B218" s="9" t="s">
        <v>549</v>
      </c>
    </row>
    <row r="219" spans="1:2" x14ac:dyDescent="0.35">
      <c r="A219" s="9" t="s">
        <v>443</v>
      </c>
      <c r="B219" s="9" t="s">
        <v>549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showGridLines="0" topLeftCell="A11" workbookViewId="0"/>
  </sheetViews>
  <sheetFormatPr defaultRowHeight="14.5" x14ac:dyDescent="0.3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showGridLines="0" workbookViewId="0"/>
  </sheetViews>
  <sheetFormatPr defaultRowHeight="14.5" x14ac:dyDescent="0.3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showGridLines="0" tabSelected="1" zoomScale="70" zoomScaleNormal="70" workbookViewId="0">
      <selection activeCell="Z7" sqref="Z7"/>
    </sheetView>
  </sheetViews>
  <sheetFormatPr defaultRowHeight="14.5" x14ac:dyDescent="0.35"/>
  <cols>
    <col min="1" max="16384" width="8.7265625" style="28"/>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showGridLines="0" topLeftCell="F1" workbookViewId="0">
      <selection activeCell="Z16" sqref="Z16"/>
    </sheetView>
  </sheetViews>
  <sheetFormatPr defaultRowHeight="14.5" x14ac:dyDescent="0.35"/>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showGridLines="0"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Region with highest pop</vt:lpstr>
      <vt:lpstr>Fast growing pop</vt:lpstr>
      <vt:lpstr>Countries with decline in growt</vt:lpstr>
      <vt:lpstr>Avg annual growth rate</vt:lpstr>
      <vt:lpstr>6 countries contributed to 24 </vt:lpstr>
      <vt:lpstr>Country with highest pop 24</vt:lpstr>
      <vt:lpstr>Country with least pop 24</vt:lpstr>
      <vt:lpstr>Average pop 2024</vt:lpstr>
      <vt:lpstr>Continent with high pop 2024</vt:lpstr>
      <vt:lpstr>Regional percent 2024</vt:lpstr>
      <vt:lpstr>Raw Data</vt:lpstr>
      <vt:lpstr>Sheet3</vt:lpstr>
      <vt:lpstr>Continent</vt:lpstr>
      <vt:lpstr>Pre-Analysis</vt:lpstr>
      <vt:lpstr>In-Analysis</vt:lpstr>
      <vt:lpstr>Dashboard</vt:lpstr>
      <vt:lpstr>Post Observation</vt:lpstr>
      <vt:lpstr>Post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dc:creator>
  <cp:lastModifiedBy>Charles</cp:lastModifiedBy>
  <dcterms:created xsi:type="dcterms:W3CDTF">2025-11-02T18:17:21Z</dcterms:created>
  <dcterms:modified xsi:type="dcterms:W3CDTF">2025-11-03T20:17:34Z</dcterms:modified>
</cp:coreProperties>
</file>